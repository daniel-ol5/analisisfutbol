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iel\Desktop\SW1\Deportivo\docs\"/>
    </mc:Choice>
  </mc:AlternateContent>
  <xr:revisionPtr revIDLastSave="0" documentId="13_ncr:1_{0B0843C6-9514-4335-B3EF-2723058237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rints" sheetId="1" r:id="rId1"/>
    <sheet name="Sprint Planning" sheetId="2" r:id="rId2"/>
    <sheet name="Casos de Uso" sheetId="3" r:id="rId3"/>
    <sheet name="Distribucion Equipo" sheetId="4" r:id="rId4"/>
    <sheet name="Dependencias" sheetId="5" r:id="rId5"/>
    <sheet name="Resumen" sheetId="6" r:id="rId6"/>
  </sheets>
  <definedNames>
    <definedName name="_xlnm._FilterDatabase" localSheetId="1" hidden="1">'Sprint Planning'!$A$1:$N$109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6" l="1"/>
  <c r="O8" i="6"/>
  <c r="N8" i="6"/>
  <c r="M8" i="6"/>
  <c r="L8" i="6"/>
  <c r="K8" i="6"/>
  <c r="J8" i="6"/>
  <c r="I8" i="6"/>
  <c r="H8" i="6"/>
  <c r="G8" i="6"/>
  <c r="F8" i="6"/>
  <c r="E8" i="6"/>
  <c r="D8" i="6"/>
  <c r="C8" i="6"/>
  <c r="O7" i="6"/>
  <c r="N7" i="6"/>
  <c r="M7" i="6"/>
  <c r="L7" i="6"/>
  <c r="K7" i="6"/>
  <c r="J7" i="6"/>
  <c r="I7" i="6"/>
  <c r="H7" i="6"/>
  <c r="G7" i="6"/>
  <c r="F7" i="6"/>
  <c r="E7" i="6"/>
  <c r="D7" i="6"/>
  <c r="C7" i="6"/>
  <c r="O6" i="6"/>
  <c r="N6" i="6"/>
  <c r="M6" i="6"/>
  <c r="L6" i="6"/>
  <c r="K6" i="6"/>
  <c r="J6" i="6"/>
  <c r="I6" i="6"/>
  <c r="H6" i="6"/>
  <c r="G6" i="6"/>
  <c r="F6" i="6"/>
  <c r="E6" i="6"/>
  <c r="D6" i="6"/>
  <c r="C6" i="6"/>
  <c r="O5" i="6"/>
  <c r="N5" i="6"/>
  <c r="M5" i="6"/>
  <c r="L5" i="6"/>
  <c r="L9" i="6" s="1"/>
  <c r="K5" i="6"/>
  <c r="J5" i="6"/>
  <c r="I5" i="6"/>
  <c r="H5" i="6"/>
  <c r="G5" i="6"/>
  <c r="F5" i="6"/>
  <c r="E5" i="6"/>
  <c r="D5" i="6"/>
  <c r="C5" i="6"/>
  <c r="K9" i="6" l="1"/>
  <c r="O9" i="6"/>
  <c r="N9" i="6"/>
  <c r="M9" i="6"/>
  <c r="J9" i="6"/>
  <c r="I9" i="6"/>
  <c r="H9" i="6"/>
  <c r="G9" i="6"/>
  <c r="F9" i="6"/>
  <c r="E9" i="6"/>
  <c r="D9" i="6"/>
  <c r="C9" i="6"/>
</calcChain>
</file>

<file path=xl/sharedStrings.xml><?xml version="1.0" encoding="utf-8"?>
<sst xmlns="http://schemas.openxmlformats.org/spreadsheetml/2006/main" count="2194" uniqueCount="776">
  <si>
    <t>Sprint Planning por Casos de Uso  ·  Area Tecnica</t>
  </si>
  <si>
    <t>6 integrantes · 4 sprints de 20 dias · 26/08/2026 a 13/11/2026 · modelo hibrido: carril Plataforma + 2 parejas de Producto</t>
  </si>
  <si>
    <t>Sprint ID</t>
  </si>
  <si>
    <t>Sprint</t>
  </si>
  <si>
    <t>Fecha Inicio</t>
  </si>
  <si>
    <t>Fecha Fin</t>
  </si>
  <si>
    <t>Modelo</t>
  </si>
  <si>
    <t>Objetivo</t>
  </si>
  <si>
    <t>Entregables</t>
  </si>
  <si>
    <t>S1</t>
  </si>
  <si>
    <t>Cimientos y acceso</t>
  </si>
  <si>
    <t>Horizontal: todos por tecnologia</t>
  </si>
  <si>
    <t>Aprender el stack, congelar los contratos de API y dejar el paquete de Seguridad funcionando de punta a punta en las tres plataformas.</t>
  </si>
  <si>
    <t>Contrato OpenAPI congelado; mocks operativos; Docker Compose; CI/CD a staging; CU-01 a CU-05 completos en Backend, Web y Movil.</t>
  </si>
  <si>
    <t>S2</t>
  </si>
  <si>
    <t>Plantel, partidos y calibracion</t>
  </si>
  <si>
    <t>Hibrido: 2 Plataforma + 2 parejas</t>
  </si>
  <si>
    <t>Las dos parejas se apropian de los casos de uso de Gestion Deportiva de punta a punta, mientras Plataforma resuelve calibracion y tiempo real.</t>
  </si>
  <si>
    <t>CU-09 a CU-17 completos en las tres capas; CU-18 a CU-23 de calibracion; hub de WebSockets y emisor simulado.</t>
  </si>
  <si>
    <t>S3</t>
  </si>
  <si>
    <t>Partido en vivo y metricas</t>
  </si>
  <si>
    <t>El worker de vision alimenta el sistema y las parejas construyen la operacion del partido y el analisis tactico completos.</t>
  </si>
  <si>
    <t>CU-24 a CU-29 de vision; CU-30 a CU-39 de operacion; CU-40 a CU-46 de analisis, cada uno en sus tres capas.</t>
  </si>
  <si>
    <t>S4</t>
  </si>
  <si>
    <t>Asistencia al DT, integracion y cierre</t>
  </si>
  <si>
    <t>Hibrido + cierre conjunto</t>
  </si>
  <si>
    <t>Completar la capa de asistencia al entrenador y dejar el sistema integrado, probado en cancha real y desplegado. Desarrollo hasta el 04/11, estabilizacion del 05/11 al 13/11.</t>
  </si>
  <si>
    <t>CU-49 a CU-58 completos; pruebas extremo a extremo; prueba en partido real; criterios de calidad medidos; despliegue y demostracion.</t>
  </si>
  <si>
    <t>Como se organiza el trabajo</t>
  </si>
  <si>
    <t>· CARRIL PLATAFORMA (2 personas, rotando): contratos, autenticacion, multi-tenant, WebSockets, worker de vision y calibracion. Es trabajo horizontal porque no se puede rebanar por caso de uso.</t>
  </si>
  <si>
    <t>· CARRIL PRODUCTO (4 personas en 2 parejas): cada pareja se apropia de casos de uso completos y los lleva de la base de datos a la API, a la Web y al Movil. Sin entregas entre personas.</t>
  </si>
  <si>
    <t>· El Sprint 1 es horizontal para todos: los cimientos lo son por naturaleza, y nadie puede tomar una rebanada en Flutter si nunca escribio Dart.</t>
  </si>
  <si>
    <t>· Dentro de cada pareja, uno toma Backend y Web y el otro Movil; en el sprint siguiente invierten. Se sientan al lado: no se entregan trabajo, son duenos del caso de uso juntos.</t>
  </si>
  <si>
    <t>Task ID</t>
  </si>
  <si>
    <t>Carril</t>
  </si>
  <si>
    <t>Integrante</t>
  </si>
  <si>
    <t>Caso de Uso</t>
  </si>
  <si>
    <t>Nombre de Tarea</t>
  </si>
  <si>
    <t>Descripcion</t>
  </si>
  <si>
    <t>Tecnologia</t>
  </si>
  <si>
    <t>Prioridad</t>
  </si>
  <si>
    <t>Fecha Limite</t>
  </si>
  <si>
    <t>Dependencia</t>
  </si>
  <si>
    <t>Estado</t>
  </si>
  <si>
    <t>Criterio de Finalizacion</t>
  </si>
  <si>
    <t>T-001</t>
  </si>
  <si>
    <t>Plataforma</t>
  </si>
  <si>
    <t>Daniel</t>
  </si>
  <si>
    <t>—</t>
  </si>
  <si>
    <t>Contratos OpenAPI de los 6 paquetes</t>
  </si>
  <si>
    <t>Definir y congelar el esquema OpenAPI completo: rutas, DTOs, codigos de error y ejemplos. Es el insumo del que dependen Web y Movil para no bloquearse.</t>
  </si>
  <si>
    <t>Backend</t>
  </si>
  <si>
    <t>Alta</t>
  </si>
  <si>
    <t>-</t>
  </si>
  <si>
    <t>Pendiente</t>
  </si>
  <si>
    <t>Esquema validado, revisado por un integrante de Web y uno de Movil, y mergeado a main.</t>
  </si>
  <si>
    <t>T-002</t>
  </si>
  <si>
    <t>Modelos base y migraciones</t>
  </si>
  <si>
    <t>Modelos club y usuario con SQLAlchemy, Alembic configurado y migracion inicial generada.</t>
  </si>
  <si>
    <t>Migracion aplicada sin errores en base limpia y revertible con downgrade.</t>
  </si>
  <si>
    <t>T-003</t>
  </si>
  <si>
    <t>CU-01</t>
  </si>
  <si>
    <t>Registrar club y cuenta administradora</t>
  </si>
  <si>
    <t>Endpoint de alta de club con su primer usuario ADMIN y hash de contrasena con bcrypt.</t>
  </si>
  <si>
    <t>Registro devuelve sesion iniciada; email duplicado responde 409.</t>
  </si>
  <si>
    <t>T-004</t>
  </si>
  <si>
    <t>CU-02, CU-03</t>
  </si>
  <si>
    <t>Login, logout y refresco de token</t>
  </si>
  <si>
    <t>Autenticacion JWT con token de acceso de 15 min, refresco de 30 dias con rotacion y lista negra al cerrar sesion.</t>
  </si>
  <si>
    <t>Credenciales invalidas responden 401 generico; el refresh invalidado deja de servir.</t>
  </si>
  <si>
    <t>T-005</t>
  </si>
  <si>
    <t>CU-04</t>
  </si>
  <si>
    <t>Gestionar usuarios y roles</t>
  </si>
  <si>
    <t>ABM de usuarios del club con los cuatro roles y control de acceso por rol.</t>
  </si>
  <si>
    <t>Un ASISTENTE recibe 403 al intentar modificar el plantel.</t>
  </si>
  <si>
    <t>T-006</t>
  </si>
  <si>
    <t>Susana</t>
  </si>
  <si>
    <t>Docker Compose del entorno</t>
  </si>
  <si>
    <t>API, PostgreSQL y Redis con un solo comando, con migraciones y datos de prueba en el primer arranque.</t>
  </si>
  <si>
    <t>Un integrante que no lo escribio levanta el entorno siguiendo solo el README.</t>
  </si>
  <si>
    <t>T-007</t>
  </si>
  <si>
    <t>Integracion continua</t>
  </si>
  <si>
    <t>Lint, verificacion de tipos y suite de pruebas en cada Pull Request, bloqueando el merge si falla.</t>
  </si>
  <si>
    <t>Un PR con pruebas en rojo queda bloqueado y el estado es visible en el PR.</t>
  </si>
  <si>
    <t>T-008</t>
  </si>
  <si>
    <t>Despliegue automatico a staging</t>
  </si>
  <si>
    <t>Al integrar a main se despliega API y web en menos de 10 minutos, con migraciones automaticas.</t>
  </si>
  <si>
    <t>Un merge a main queda accesible por URL; un fallo notifica al canal del equipo.</t>
  </si>
  <si>
    <t>T-009</t>
  </si>
  <si>
    <t>Aislamiento multi-club</t>
  </si>
  <si>
    <t>Filtro por club en un manager base compartido, usado por todas las consultas del sistema.</t>
  </si>
  <si>
    <t>Ninguna consulta puede omitir el filtro: esta centralizado en core/tenancy.py.</t>
  </si>
  <si>
    <t>T-010</t>
  </si>
  <si>
    <t>Prueba de acceso cruzado entre clubes</t>
  </si>
  <si>
    <t>Prueba automatizada que verifica que un club no accede a recursos de otro, en todos los endpoints.</t>
  </si>
  <si>
    <t>Un usuario del club A recibe 404 al pedir un recurso del club B; corre en cada CI.</t>
  </si>
  <si>
    <t>T-011</t>
  </si>
  <si>
    <t>Producto · P1</t>
  </si>
  <si>
    <t>Jhon</t>
  </si>
  <si>
    <t>Andamiaje de la aplicacion web</t>
  </si>
  <si>
    <t>React 19 + TypeScript + Vite con estructura por features, alias de importacion y linter.</t>
  </si>
  <si>
    <t>Web</t>
  </si>
  <si>
    <t>npm run build en verde y estructura documentada en el README.</t>
  </si>
  <si>
    <t>T-012</t>
  </si>
  <si>
    <t>Servidor de mocks desde el OpenAPI</t>
  </si>
  <si>
    <t>Mock generado del esquema para que Web y Movil desarrollen sin esperar al backend. Pieza clave anti-bloqueo.</t>
  </si>
  <si>
    <t>Web y Movil consumen datos simulados de los 6 paquetes cambiando una variable de entorno.</t>
  </si>
  <si>
    <t>T-013</t>
  </si>
  <si>
    <t>CU-02</t>
  </si>
  <si>
    <t>Login web y cliente HTTP</t>
  </si>
  <si>
    <t>Pantalla de inicio de sesion y cliente unico con interceptor que adjunta el token y lo renueva.</t>
  </si>
  <si>
    <t>Funciona contra el mock y contra la API real sin cambiar codigo.</t>
  </si>
  <si>
    <t>T-014</t>
  </si>
  <si>
    <t>Registro de club en web</t>
  </si>
  <si>
    <t>Formulario de alta con validacion en cliente y manejo de errores del servidor.</t>
  </si>
  <si>
    <t>Registro exitoso redirige al panel; email duplicado muestra el mensaje correcto.</t>
  </si>
  <si>
    <t>T-015</t>
  </si>
  <si>
    <t>Alejandra</t>
  </si>
  <si>
    <t>Sistema de diseno y layout base</t>
  </si>
  <si>
    <t>Tokens de color, tipografia y espaciado, y layout principal con navegacion lateral.</t>
  </si>
  <si>
    <t>Media</t>
  </si>
  <si>
    <t>Componentes base documentados y legibles en tema claro y oscuro.</t>
  </si>
  <si>
    <t>T-016</t>
  </si>
  <si>
    <t>Enrutado y guardas por rol</t>
  </si>
  <si>
    <t>Rutas de las seis secciones y guardas que restringen el acceso segun el rol.</t>
  </si>
  <si>
    <t>Un ASISTENTE no puede acceder a las rutas de administracion.</t>
  </si>
  <si>
    <t>T-017</t>
  </si>
  <si>
    <t>Gestion de usuarios en web</t>
  </si>
  <si>
    <t>Listado, alta y desactivacion de usuarios del club con seleccion de rol.</t>
  </si>
  <si>
    <t>Solo el rol ADMIN ve y usa esta pantalla.</t>
  </si>
  <si>
    <t>T-018</t>
  </si>
  <si>
    <t>CU-05</t>
  </si>
  <si>
    <t>Perfil propio en web</t>
  </si>
  <si>
    <t>Edicion de datos personales y cambio de contrasena exigiendo la actual.</t>
  </si>
  <si>
    <t>Al cambiar la contrasena se cierran las demas sesiones.</t>
  </si>
  <si>
    <t>T-019</t>
  </si>
  <si>
    <t>Producto · P2</t>
  </si>
  <si>
    <t>Alex</t>
  </si>
  <si>
    <t>Andamiaje de la aplicacion movil</t>
  </si>
  <si>
    <t>Proyecto Flutter con arquitectura por capas, inyeccion de dependencias y entornos.</t>
  </si>
  <si>
    <t>Movil</t>
  </si>
  <si>
    <t>flutter build apk en verde y estructura documentada.</t>
  </si>
  <si>
    <t>T-020</t>
  </si>
  <si>
    <t>Cliente HTTP movil contra mocks</t>
  </si>
  <si>
    <t>Capa de red con interceptor de token y manejo de errores, apuntando al mock.</t>
  </si>
  <si>
    <t>Cambia a la API real solo con una variable de entorno.</t>
  </si>
  <si>
    <t>T-021</t>
  </si>
  <si>
    <t>Login movil y token seguro</t>
  </si>
  <si>
    <t>Pantalla de inicio de sesion y guardado del token en almacenamiento seguro del dispositivo.</t>
  </si>
  <si>
    <t>La sesion sobrevive al cierre de la app y el token no queda en texto plano.</t>
  </si>
  <si>
    <t>T-022</t>
  </si>
  <si>
    <t>CU-03</t>
  </si>
  <si>
    <t>Cierre de sesion en movil</t>
  </si>
  <si>
    <t>Cierre que invalida el refresh en el servidor y limpia el almacenamiento local.</t>
  </si>
  <si>
    <t>Tras cerrar sesion no queda ningun dato del usuario anterior.</t>
  </si>
  <si>
    <t>T-023</t>
  </si>
  <si>
    <t>Araceli</t>
  </si>
  <si>
    <t>Navegacion y tema para uso al sol</t>
  </si>
  <si>
    <t>Navegacion entre pantallas y tema de alto contraste con textos de al menos 16 puntos.</t>
  </si>
  <si>
    <t>Legible al aire libre con una sola mano, verificado con 2 personas.</t>
  </si>
  <si>
    <t>T-024</t>
  </si>
  <si>
    <t>Persistencia local en el dispositivo</t>
  </si>
  <si>
    <t>Base de datos local para catalogos y cola de eventos, con sus migraciones.</t>
  </si>
  <si>
    <t>Los datos sobreviven al reinicio; hay pruebas de lectura y escritura.</t>
  </si>
  <si>
    <t>T-025</t>
  </si>
  <si>
    <t>Perfil propio en movil</t>
  </si>
  <si>
    <t>Consulta y edicion de los datos personales desde la app.</t>
  </si>
  <si>
    <t>Los cambios se reflejan en la web sin recargar sesion.</t>
  </si>
  <si>
    <t>T-026</t>
  </si>
  <si>
    <t>Renovacion automatica de sesion</t>
  </si>
  <si>
    <t>Refresco transparente del token al expirar, sin interrumpir lo que el usuario esta haciendo.</t>
  </si>
  <si>
    <t>Con el token vencido la app renueva sola y la accion en curso no se pierde.</t>
  </si>
  <si>
    <t>T-027</t>
  </si>
  <si>
    <t>CU-18</t>
  </si>
  <si>
    <t>Guia de montaje de camara</t>
  </si>
  <si>
    <t>Pantalla con altura recomendada, encuadre, resolucion y lista de comprobacion previa a calibrar.</t>
  </si>
  <si>
    <t>Alguien ajeno al equipo monta la camara siguiendo solo la guia.</t>
  </si>
  <si>
    <t>T-028</t>
  </si>
  <si>
    <t>CU-19, CU-20</t>
  </si>
  <si>
    <t>Calibracion y medidas de cancha</t>
  </si>
  <si>
    <t>Modelo y endpoints de calibracion con los puntos marcados y las medidas reales del campo, editables.</t>
  </si>
  <si>
    <t>Una cancha no reglamentaria produce distancias acordes a sus medidas reales.</t>
  </si>
  <si>
    <t>T-029</t>
  </si>
  <si>
    <t>CU-21</t>
  </si>
  <si>
    <t>Homografia y error de reproyeccion</t>
  </si>
  <si>
    <t>Calculo de la matriz con al menos 8 puntos y del error medio y maximo en metros.</t>
  </si>
  <si>
    <t>Con menos de 8 puntos se rechaza; error medio mayor a 2 m bloquea el inicio del partido.</t>
  </si>
  <si>
    <t>T-030</t>
  </si>
  <si>
    <t>CU-19</t>
  </si>
  <si>
    <t>Pantalla de marcado de puntos</t>
  </si>
  <si>
    <t>Cuadro congelado y plano de cancha lado a lado, marcando pares de puntos con clic.</t>
  </si>
  <si>
    <t>Se marcan 8 puntos, se corrigen y eliminan, y el proceso toma menos de 3 minutos.</t>
  </si>
  <si>
    <t>T-031</t>
  </si>
  <si>
    <t>Validacion visual del error</t>
  </si>
  <si>
    <t>Mostrar error medio y maximo en metros y senalar que punto tiene el mayor residual.</t>
  </si>
  <si>
    <t>Con error mayor a 2 m la pantalla impide iniciar y explica como corregirlo.</t>
  </si>
  <si>
    <t>T-032</t>
  </si>
  <si>
    <t>Hub de WebSockets</t>
  </si>
  <si>
    <t>Canal por partido con difusion del estado a todos los conectados y control de acceso por club.</t>
  </si>
  <si>
    <t>Un usuario de otro club no puede conectarse al canal.</t>
  </si>
  <si>
    <t>T-033</t>
  </si>
  <si>
    <t>Ingesta de posiciones del worker</t>
  </si>
  <si>
    <t>Endpoint WebSocket que recibe las posiciones en metros y las persiste por lotes.</t>
  </si>
  <si>
    <t>Los mensajes se validan contra el contrato; la insercion usa bulk_create.</t>
  </si>
  <si>
    <t>T-034</t>
  </si>
  <si>
    <t>Emisor simulado de posiciones</t>
  </si>
  <si>
    <t>Proceso que reproduce posiciones plausibles sin GPU ni video. Desbloquea a Web y Movil un sprint antes del worker real.</t>
  </si>
  <si>
    <t>Corre en la maquina de cualquier integrante y alimenta el panel en vivo.</t>
  </si>
  <si>
    <t>T-035</t>
  </si>
  <si>
    <t>CU-22</t>
  </si>
  <si>
    <t>Reutilizar calibracion previa</t>
  </si>
  <si>
    <t>Cargar la calibracion de un partido anterior en la misma sede como punto de partida.</t>
  </si>
  <si>
    <t>Baja</t>
  </si>
  <si>
    <t>Advierte que debe verificarse si la camara se movio.</t>
  </si>
  <si>
    <t>T-036</t>
  </si>
  <si>
    <t>CU-23</t>
  </si>
  <si>
    <t>Corregir distorsion del lente</t>
  </si>
  <si>
    <t>Calibracion intrinseca con patron de ajedrez y correccion aplicada con mapa precalculado.</t>
  </si>
  <si>
    <t>Un punto cercano al borde tiene error comparable al de un punto central.</t>
  </si>
  <si>
    <t>T-037</t>
  </si>
  <si>
    <t>CU-09</t>
  </si>
  <si>
    <t>CRUD de equipos</t>
  </si>
  <si>
    <t>Alta, edicion, listado y baja logica de equipos con nombre, categoria y temporada.</t>
  </si>
  <si>
    <t>Un equipo con partidos se desactiva en vez de eliminarse.</t>
  </si>
  <si>
    <t>T-038</t>
  </si>
  <si>
    <t>CU-10</t>
  </si>
  <si>
    <t>Colores de indumentaria</t>
  </si>
  <si>
    <t>Los tres juegos de color por equipo, dato de entrada del pipeline de vision.</t>
  </si>
  <si>
    <t>Si los colores de ambos equipos quedan muy cerca en HSV, el sistema advierte.</t>
  </si>
  <si>
    <t>T-039</t>
  </si>
  <si>
    <t>CU-11</t>
  </si>
  <si>
    <t>CRUD de jugadores</t>
  </si>
  <si>
    <t>Ficha completa con dorsal unico entre activos, posicion, pie habil y altura obligatoria.</t>
  </si>
  <si>
    <t>Un dorsal duplicado es rechazado; la baja logica conserva las metricas historicas.</t>
  </si>
  <si>
    <t>T-040</t>
  </si>
  <si>
    <t>CU-12</t>
  </si>
  <si>
    <t>Importacion de plantel desde CSV</t>
  </si>
  <si>
    <t>Carga masiva con validacion fila por fila y plantilla descargable.</t>
  </si>
  <si>
    <t>Las filas validas se importan aunque otras fallen.</t>
  </si>
  <si>
    <t>T-041</t>
  </si>
  <si>
    <t>CU-09, CU-10</t>
  </si>
  <si>
    <t>Equipos e indumentaria en web</t>
  </si>
  <si>
    <t>Pantalla de alta y edicion con selector visual de los tres colores.</t>
  </si>
  <si>
    <t>Advierte cuando dos equipos usan colores demasiado similares.</t>
  </si>
  <si>
    <t>T-042</t>
  </si>
  <si>
    <t>Listado y ficha de jugadores en web</t>
  </si>
  <si>
    <t>Plantel ordenable por dorsal o posicion y formulario de ficha completa.</t>
  </si>
  <si>
    <t>Alta, edicion y baja logica funcionando contra la API real.</t>
  </si>
  <si>
    <t>T-043</t>
  </si>
  <si>
    <t>Vista previa de importacion</t>
  </si>
  <si>
    <t>Pantalla que muestra las filas a importar y el detalle de los errores antes de confirmar.</t>
  </si>
  <si>
    <t>Se puede cancelar tras ver la vista previa sin importar nada.</t>
  </si>
  <si>
    <t>T-044</t>
  </si>
  <si>
    <t>Consulta de equipos en movil</t>
  </si>
  <si>
    <t>Listado de equipos del club, de solo lectura, optimizado para lectura rapida.</t>
  </si>
  <si>
    <t>Carga en menos de 2 segundos y es legible al sol.</t>
  </si>
  <si>
    <t>T-045</t>
  </si>
  <si>
    <t>Plantel y busqueda en movil</t>
  </si>
  <si>
    <t>Vista del plantel con busqueda por nombre o dorsal y sincronizacion a la base local.</t>
  </si>
  <si>
    <t>Los datos quedan disponibles sin conexion tras la primera sincronizacion.</t>
  </si>
  <si>
    <t>T-046</t>
  </si>
  <si>
    <t>CU-13</t>
  </si>
  <si>
    <t>Competiciones y temporadas</t>
  </si>
  <si>
    <t>Alta y gestion de competiciones para agrupar partidos y habilitar comparativas.</t>
  </si>
  <si>
    <t>Se puede filtrar el historial de partidos por competicion.</t>
  </si>
  <si>
    <t>T-047</t>
  </si>
  <si>
    <t>CU-14, CU-16</t>
  </si>
  <si>
    <t>Programar, reprogramar y cancelar partido</t>
  </si>
  <si>
    <t>Alta de partido con maquina de estados y transiciones validadas.</t>
  </si>
  <si>
    <t>Un partido iniciado no se puede editar ni reprogramar.</t>
  </si>
  <si>
    <t>T-048</t>
  </si>
  <si>
    <t>CU-17</t>
  </si>
  <si>
    <t>Alineacion y formacion</t>
  </si>
  <si>
    <t>Guardar y consultar la alineacion con su formacion y las posiciones relativas de cada jugador.</t>
  </si>
  <si>
    <t>No acepta mas de 11 titulares; las coordenadas se guardan de 0 a 100.</t>
  </si>
  <si>
    <t>T-049</t>
  </si>
  <si>
    <t>CU-14</t>
  </si>
  <si>
    <t>Programar partido en web</t>
  </si>
  <si>
    <t>Formulario de alta de partido con rival, fecha, sede y competicion.</t>
  </si>
  <si>
    <t>El partido queda en estado PROGRAMADO y aparece en la agenda.</t>
  </si>
  <si>
    <t>T-050</t>
  </si>
  <si>
    <t>CU-15</t>
  </si>
  <si>
    <t>Agenda de partidos en web</t>
  </si>
  <si>
    <t>Listado con filtros por equipo, competicion, estado y fechas. Es la pantalla de inicio.</t>
  </si>
  <si>
    <t>El estado se distingue visualmente y un partido en curso aparece destacado arriba.</t>
  </si>
  <si>
    <t>T-051</t>
  </si>
  <si>
    <t>Editor de alineacion</t>
  </si>
  <si>
    <t>Plano de cancha con arrastrar y soltar, formaciones predefinidas, suplentes y capitan. TAREA GRANDE: revisar a mitad de sprint.</t>
  </si>
  <si>
    <t>Se arma el once, se mueven jugadores y se guarda; el sistema impide 12 titulares.</t>
  </si>
  <si>
    <t>T-052</t>
  </si>
  <si>
    <t>Agenda de partidos en movil</t>
  </si>
  <si>
    <t>Listado de partidos con filtros basicos, pensado para consulta rapida en cancha.</t>
  </si>
  <si>
    <t>Legible al sol y usable con una sola mano.</t>
  </si>
  <si>
    <t>T-053</t>
  </si>
  <si>
    <t>Ver alineacion en movil</t>
  </si>
  <si>
    <t>Vista de solo lectura del partido con su alineacion sobre un plano de cancha.</t>
  </si>
  <si>
    <t>Dibuja correctamente las cuatro formaciones soportadas.</t>
  </si>
  <si>
    <t>T-054</t>
  </si>
  <si>
    <t>Modo sin conexion de la agenda</t>
  </si>
  <si>
    <t>La app navega partidos y alineaciones sin red, indicando el estado de conexion.</t>
  </si>
  <si>
    <t>Con modo avion se navega la agenda sin errores.</t>
  </si>
  <si>
    <t>T-055</t>
  </si>
  <si>
    <t>CU-24</t>
  </si>
  <si>
    <t>Deteccion y seguimiento con YOLO</t>
  </si>
  <si>
    <t>Pipeline con YOLO11 y ByteTrack a 5 cuadros por segundo. CUELLO DE BOTELLA: requiere la maquina con GPU.</t>
  </si>
  <si>
    <t>Sobre el clip de referencia alcanza mAP@50 de jugador &gt;= 0,85 e IDF1 &gt;= 0,70.</t>
  </si>
  <si>
    <t>T-056</t>
  </si>
  <si>
    <t>CU-25</t>
  </si>
  <si>
    <t>Clasificacion por color de camiseta</t>
  </si>
  <si>
    <t>Recorte del torso, descarte del verde del cesped y agrupamiento en dos equipos con K-means.</t>
  </si>
  <si>
    <t>Precision de al menos 90% verificada sobre 200 recortes de jugador.</t>
  </si>
  <si>
    <t>T-057</t>
  </si>
  <si>
    <t>CU-26</t>
  </si>
  <si>
    <t>Proyeccion a coordenadas reales</t>
  </si>
  <si>
    <t>Convertir pixeles a metros usando el punto de apoyo del jugador, nunca el centro de la caja.</t>
  </si>
  <si>
    <t>Un cono en el punto de penal se reporta a menos de 1,5 m de su posicion real.</t>
  </si>
  <si>
    <t>T-058</t>
  </si>
  <si>
    <t>Suavizado de trayectorias</t>
  </si>
  <si>
    <t>Filtrado temporal sobre metros con umbral de desplazamiento minimo, antes de calcular metricas.</t>
  </si>
  <si>
    <t>Un jugador parado 1 minuto acumula menos de 5 metros.</t>
  </si>
  <si>
    <t>T-059</t>
  </si>
  <si>
    <t>CU-29</t>
  </si>
  <si>
    <t>Versionado de modelos</t>
  </si>
  <si>
    <t>Registro de modelos con sus metricas y control de cual esta activo, con vuelta atras.</t>
  </si>
  <si>
    <t>Se activa una version anterior sin volver a entrenar.</t>
  </si>
  <si>
    <t>T-060</t>
  </si>
  <si>
    <t>CU-28</t>
  </si>
  <si>
    <t>Carga de video de partido</t>
  </si>
  <si>
    <t>Subida reanudable del archivo a almacenamiento de objetos, con validacion previa de formato.</t>
  </si>
  <si>
    <t>Un formato no soportado se rechaza antes de empezar la carga.</t>
  </si>
  <si>
    <t>T-061</t>
  </si>
  <si>
    <t>CU-27</t>
  </si>
  <si>
    <t>Procesamiento diferido de video</t>
  </si>
  <si>
    <t>Ejecucion del pipeline completo como tarea en segundo plano, con reporte de progreso.</t>
  </si>
  <si>
    <t>Un video procesado genera las mismas entidades que un partido en vivo.</t>
  </si>
  <si>
    <t>T-062</t>
  </si>
  <si>
    <t>CU-27, CU-28</t>
  </si>
  <si>
    <t>Carga y estado del procesamiento en web</t>
  </si>
  <si>
    <t>Pantalla de subida con barra de progreso y estado del procesamiento actualizandose solo.</t>
  </si>
  <si>
    <t>Un fallo muestra el mensaje de error que explica la causa.</t>
  </si>
  <si>
    <t>T-063</t>
  </si>
  <si>
    <t>Gestion de modelos en web</t>
  </si>
  <si>
    <t>Listado de versiones con sus metricas y activacion de una version.</t>
  </si>
  <si>
    <t>Activar una version se refleja en el siguiente procesamiento.</t>
  </si>
  <si>
    <t>T-064</t>
  </si>
  <si>
    <t>Evaluacion del modelo</t>
  </si>
  <si>
    <t>Clip de referencia anotado y comando que calcula mAP e IDF1 como prueba de regresion.</t>
  </si>
  <si>
    <t>Un modelo con metricas peores que el vigente no se promueve a activo.</t>
  </si>
  <si>
    <t>T-065</t>
  </si>
  <si>
    <t>CU-30, CU-31</t>
  </si>
  <si>
    <t>Control del partido y direccion de ataque</t>
  </si>
  <si>
    <t>Iniciar, pausar y finalizar el partido con cronometro, exigiendo definir la direccion de ataque.</t>
  </si>
  <si>
    <t>Un partido sin calibracion valida no se puede iniciar; el segundo tiempo normaliza coordenadas.</t>
  </si>
  <si>
    <t>T-066</t>
  </si>
  <si>
    <t>CU-36, CU-37, CU-38</t>
  </si>
  <si>
    <t>Eventos manuales del partido</t>
  </si>
  <si>
    <t>Endpoints de gol, tarjeta y sustitucion, con origen MANUAL y reglas de negocio.</t>
  </si>
  <si>
    <t>Una segunda amarilla al mismo jugador se convierte en roja automaticamente.</t>
  </si>
  <si>
    <t>T-067</t>
  </si>
  <si>
    <t>CU-34, CU-35</t>
  </si>
  <si>
    <t>Asignacion de jugadores a identificadores</t>
  </si>
  <si>
    <t>Asociar cada identificador detectado a un jugador, con vigencia temporal y reasignacion.</t>
  </si>
  <si>
    <t>Reasignar tras una oclusion continua las metricas en vez de reiniciarlas.</t>
  </si>
  <si>
    <t>T-068</t>
  </si>
  <si>
    <t>CU-30</t>
  </si>
  <si>
    <t>Control del partido en web</t>
  </si>
  <si>
    <t>Pantalla de inicio, entretiempo, descuento y cierre del partido.</t>
  </si>
  <si>
    <t>El cronometro se ve igual en todos los clientes con menos de 1 s de diferencia.</t>
  </si>
  <si>
    <t>T-069</t>
  </si>
  <si>
    <t>Botonera de eventos en movil</t>
  </si>
  <si>
    <t>Registro de gol, tarjeta y sustitucion en un maximo de 2 toques, usable con una mano.</t>
  </si>
  <si>
    <t>Cada evento se registra en 2 toques y menos de 5 segundos.</t>
  </si>
  <si>
    <t>T-070</t>
  </si>
  <si>
    <t>CU-33</t>
  </si>
  <si>
    <t>Cola local y sincronizacion</t>
  </si>
  <si>
    <t>Persistir eventos sin conexion y enviarlos en orden al recuperar la red, sin duplicar.</t>
  </si>
  <si>
    <t>Tras un corte de 5 minutos no se pierde ni se duplica ningun evento.</t>
  </si>
  <si>
    <t>T-071</t>
  </si>
  <si>
    <t>Cronometro sincronizado en movil</t>
  </si>
  <si>
    <t>Reloj del partido comun a todos los clientes conectados al canal.</t>
  </si>
  <si>
    <t>Dos dispositivos muestran el mismo minuto con menos de 1 segundo de diferencia.</t>
  </si>
  <si>
    <t>T-072</t>
  </si>
  <si>
    <t>CU-34</t>
  </si>
  <si>
    <t>Asignar identificadores en web</t>
  </si>
  <si>
    <t>Pantalla con los identificadores superpuestos sobre un cuadro y la lista del plantel al lado.</t>
  </si>
  <si>
    <t>Un identificador sin asignar genera metricas de equipo pero no individuales.</t>
  </si>
  <si>
    <t>T-073</t>
  </si>
  <si>
    <t>CU-39</t>
  </si>
  <si>
    <t>Supervisar calidad del procesamiento</t>
  </si>
  <si>
    <t>Indicador de conexion del worker, tasa de cuadros, jugadores detectados y aviso de degradacion.</t>
  </si>
  <si>
    <t>Con menos de 16 jugadores detectados durante 10 segundos aparece el aviso.</t>
  </si>
  <si>
    <t>T-074</t>
  </si>
  <si>
    <t>CU-42</t>
  </si>
  <si>
    <t>Calculo de posesion</t>
  </si>
  <si>
    <t>Asignar posesion al equipo del jugador mas cercano al balon, dentro de un umbral configurable.</t>
  </si>
  <si>
    <t>Con el balon lejos de todos, ese tiempo se computa como disputa.</t>
  </si>
  <si>
    <t>T-075</t>
  </si>
  <si>
    <t>CU-43</t>
  </si>
  <si>
    <t>Metricas fisicas por jugador</t>
  </si>
  <si>
    <t>Distancia recorrida, velocidad maxima y sprints, acumulados y por intervalos de 5 minutos.</t>
  </si>
  <si>
    <t>Un jugador parado 1 minuto acumula menos de 5 m en ese intervalo.</t>
  </si>
  <si>
    <t>T-076</t>
  </si>
  <si>
    <t>CU-46</t>
  </si>
  <si>
    <t>Metricas por intervalos</t>
  </si>
  <si>
    <t>Persistir posesion, pases, distancia y metricas de bloque por intervalo, de forma incremental.</t>
  </si>
  <si>
    <t>Los intervalos se calculan durante el partido y no al finalizarlo.</t>
  </si>
  <si>
    <t>T-077</t>
  </si>
  <si>
    <t>CU-40</t>
  </si>
  <si>
    <t>Panel del partido en vivo</t>
  </si>
  <si>
    <t>Marcador, cronometro, posesion y metricas actualizandose por WebSocket sin recargar.</t>
  </si>
  <si>
    <t>Latencia de la captura a la pantalla menor a 2 segundos, con reconexion automatica.</t>
  </si>
  <si>
    <t>T-078</t>
  </si>
  <si>
    <t>CU-41</t>
  </si>
  <si>
    <t>Plano 2D con posiciones en vivo</t>
  </si>
  <si>
    <t>Componente de cancha en SVG reutilizable y visualizacion de las posiciones coloreadas por equipo.</t>
  </si>
  <si>
    <t>Se actualiza al menos 5 veces por segundo contra el emisor simulado.</t>
  </si>
  <si>
    <t>T-079</t>
  </si>
  <si>
    <t>CU-44</t>
  </si>
  <si>
    <t>Mapas de calor</t>
  </si>
  <si>
    <t>Ocupacion por jugador, por linea y por equipo, con normalizacion por direccion de ataque.</t>
  </si>
  <si>
    <t>Un partido completo no queda simetrico por el cambio de lado en el entretiempo.</t>
  </si>
  <si>
    <t>T-080</t>
  </si>
  <si>
    <t>Partido en vivo en movil</t>
  </si>
  <si>
    <t>Marcador, cronometro y posesion actualizandose por WebSocket, legible al sol.</t>
  </si>
  <si>
    <t>Tras cortar la red 2 minutos la app se reconecta sola y recupera el estado.</t>
  </si>
  <si>
    <t>T-081</t>
  </si>
  <si>
    <t>Resumen de metricas en movil</t>
  </si>
  <si>
    <t>Vista compacta de las metricas clave, pensada para diez segundos de atencion.</t>
  </si>
  <si>
    <t>La informacion esencial entra en una pantalla sin desplazamiento.</t>
  </si>
  <si>
    <t>T-082</t>
  </si>
  <si>
    <t>CU-49</t>
  </si>
  <si>
    <t>Motor de reglas tacticas</t>
  </si>
  <si>
    <t>Evaluador de reglas configurables en base de datos sobre el estado del partido. TAREA GRANDE.</t>
  </si>
  <si>
    <t>La evaluacion completa tarda menos de 500 ms; una regla sobre metrica degradada no dispara.</t>
  </si>
  <si>
    <t>T-083</t>
  </si>
  <si>
    <t>Catalogo inicial de reglas</t>
  </si>
  <si>
    <t>Cargar 12 a 15 reglas por migracion, cubriendo bloque, circulacion, presion, fatiga y disciplina.</t>
  </si>
  <si>
    <t>Cada regla tiene mensaje en lenguaje de entrenador y su prueba unitaria.</t>
  </si>
  <si>
    <t>T-084</t>
  </si>
  <si>
    <t>Despliegue a produccion</t>
  </si>
  <si>
    <t>Configurar el entorno, migrar, verificar y dejar el sistema accesible por URL.</t>
  </si>
  <si>
    <t>Integracion</t>
  </si>
  <si>
    <t>El sistema responde en produccion y sobrevive a un reinicio completo.</t>
  </si>
  <si>
    <t>T-085</t>
  </si>
  <si>
    <t>Documentacion tecnica y ADRs</t>
  </si>
  <si>
    <t>Completar los registros de decision arquitectonica y la documentacion de despliegue.</t>
  </si>
  <si>
    <t>Los ADRs de camara, worker y base de datos estan completos y versionados.</t>
  </si>
  <si>
    <t>T-086</t>
  </si>
  <si>
    <t>Priorizacion y anti-saturacion</t>
  </si>
  <si>
    <t>Limitar a 3 recomendaciones activas, respetar el cooldown y evitar repeticiones.</t>
  </si>
  <si>
    <t>Una regla dentro de su tiempo de espera no genera una recomendacion nueva.</t>
  </si>
  <si>
    <t>T-087</t>
  </si>
  <si>
    <t>CU-53</t>
  </si>
  <si>
    <t>Notificaciones push</t>
  </si>
  <si>
    <t>Envio solo para recomendaciones criticas, a los usuarios del club del partido.</t>
  </si>
  <si>
    <t>Solo las criticas notifican; al tocarlas se abre la recomendacion correcta.</t>
  </si>
  <si>
    <t>T-088</t>
  </si>
  <si>
    <t>Preparacion de la demostracion</t>
  </si>
  <si>
    <t>Datos de muestra, guion y ensayo completo del recorrido sobre produccion.</t>
  </si>
  <si>
    <t>La demostracion se ejecuta de punta a punta sin intervencion manual.</t>
  </si>
  <si>
    <t>T-089</t>
  </si>
  <si>
    <t>Revision cruzada de codigo pendiente</t>
  </si>
  <si>
    <t>Cerrar los Pull Requests abiertos y saldar la deuda tecnica marcada durante el proyecto.</t>
  </si>
  <si>
    <t>No quedan PR abiertos ni TODOs criticos en el codigo.</t>
  </si>
  <si>
    <t>T-090</t>
  </si>
  <si>
    <t>CU-50</t>
  </si>
  <si>
    <t>Tarjeta de recomendacion en web</t>
  </si>
  <si>
    <t>Componente con mensaje, prioridad y la justificacion con las cifras reales que la dispararon.</t>
  </si>
  <si>
    <t>Llega al panel en menos de 3 segundos desde que se cumple la condicion.</t>
  </si>
  <si>
    <t>T-091</t>
  </si>
  <si>
    <t>CU-51</t>
  </si>
  <si>
    <t>Valoracion de recomendaciones en web</t>
  </si>
  <si>
    <t>Marcar util, no util o aplicada, con comentario opcional.</t>
  </si>
  <si>
    <t>El porcentaje de utiles aparece en el informe post-partido.</t>
  </si>
  <si>
    <t>T-092</t>
  </si>
  <si>
    <t>CU-54</t>
  </si>
  <si>
    <t>Catalogo de reglas en web</t>
  </si>
  <si>
    <t>Listado de reglas con activacion y desactivacion sin tocar codigo.</t>
  </si>
  <si>
    <t>Activar o desactivar surte efecto en el siguiente partido sin desplegar.</t>
  </si>
  <si>
    <t>T-093</t>
  </si>
  <si>
    <t>Pruebas extremo a extremo</t>
  </si>
  <si>
    <t>Automatizar los tres flujos criticos: calibrar y ver plano 2D; partido en vivo hasta recomendacion; video hasta informe.</t>
  </si>
  <si>
    <t>QA</t>
  </si>
  <si>
    <t>Los tres flujos corren en verde en la integracion continua.</t>
  </si>
  <si>
    <t>T-094</t>
  </si>
  <si>
    <t>Recomendaciones en vivo en movil</t>
  </si>
  <si>
    <t>Recepcion y visualizacion durante el partido, con su justificacion, legible al sol.</t>
  </si>
  <si>
    <t>Se muestran como maximo 3 a la vez, priorizadas.</t>
  </si>
  <si>
    <t>T-095</t>
  </si>
  <si>
    <t>CU-51, CU-52</t>
  </si>
  <si>
    <t>Valoracion y alertas en movil</t>
  </si>
  <si>
    <t>Valorar con un toque y recibir alertas de fatiga y de riesgo de expulsion.</t>
  </si>
  <si>
    <t>No se genera alerta de fatiga para jugadores que entraron hace menos de 15 minutos.</t>
  </si>
  <si>
    <t>T-096</t>
  </si>
  <si>
    <t>Recepcion de notificaciones push</t>
  </si>
  <si>
    <t>Integracion con el servicio de mensajeria y apertura de la recomendacion al tocar.</t>
  </si>
  <si>
    <t>La notificacion llega con la app cerrada y abre la recomendacion correcta.</t>
  </si>
  <si>
    <t>T-097</t>
  </si>
  <si>
    <t>Pruebas en dispositivos reales</t>
  </si>
  <si>
    <t>Probar la app en al menos tres dispositivos Android, en exterior y con red inestable.</t>
  </si>
  <si>
    <t>Funciona en los tres sin cierres inesperados.</t>
  </si>
  <si>
    <t>T-098</t>
  </si>
  <si>
    <t>CU-55</t>
  </si>
  <si>
    <t>Informe post-partido en PDF</t>
  </si>
  <si>
    <t>Generacion en segundo plano con metricas, mapas de calor, evolucion e indicadores de calidad.</t>
  </si>
  <si>
    <t>Incluye el error de calibracion; los graficos son legibles en blanco y negro.</t>
  </si>
  <si>
    <t>T-099</t>
  </si>
  <si>
    <t>CU-56</t>
  </si>
  <si>
    <t>Exportacion de metricas a CSV</t>
  </si>
  <si>
    <t>Exportar metricas de equipo, por jugador y eventos derivados, respetando el aislamiento.</t>
  </si>
  <si>
    <t>El archivo abre en una planilla sin problemas de acentos.</t>
  </si>
  <si>
    <t>T-100</t>
  </si>
  <si>
    <t>Vista del informe en web</t>
  </si>
  <si>
    <t>Pantalla de consulta del informe con descarga del PDF generado.</t>
  </si>
  <si>
    <t>El informe se visualiza en pantalla y se descarga correctamente.</t>
  </si>
  <si>
    <t>T-101</t>
  </si>
  <si>
    <t>Correccion de defectos priorizados</t>
  </si>
  <si>
    <t>Resolver los defectos de las pruebas, ordenados por impacto sobre los criterios de aceptacion.</t>
  </si>
  <si>
    <t>Cero defectos de severidad alta abiertos al cierre.</t>
  </si>
  <si>
    <t>T-102</t>
  </si>
  <si>
    <t>CU-45</t>
  </si>
  <si>
    <t>Metricas tacticas colectivas</t>
  </si>
  <si>
    <t>Altura de linea defensiva, amplitud y compacidad, separadas por fase con y sin balon.</t>
  </si>
  <si>
    <t>El arquero queda excluido del calculo de la linea defensiva.</t>
  </si>
  <si>
    <t>T-103</t>
  </si>
  <si>
    <t>CU-47, CU-48</t>
  </si>
  <si>
    <t>Linea de tiempo y red de pases</t>
  </si>
  <si>
    <t>Cronologia de eventos con filtros y grafo de circulacion sobre el plano de cancha.</t>
  </si>
  <si>
    <t>Al hacer clic en un evento el plano 2D salta a ese instante.</t>
  </si>
  <si>
    <t>T-104</t>
  </si>
  <si>
    <t>Informe en movil y compartir</t>
  </si>
  <si>
    <t>Visualizacion del informe post-partido y opcion de compartir el PDF.</t>
  </si>
  <si>
    <t>Los graficos son legibles en pantalla de telefono.</t>
  </si>
  <si>
    <t>T-105</t>
  </si>
  <si>
    <t>Pruebas de seguridad y aislamiento</t>
  </si>
  <si>
    <t>Verificar el aislamiento entre clubes en todos los endpoints y que no haya secretos en el repositorio.</t>
  </si>
  <si>
    <t>Ningun endpoint permite acceso cruzado; el escaneo de secretos da limpio.</t>
  </si>
  <si>
    <t>T-106</t>
  </si>
  <si>
    <t>Prueba en cancha con partido real</t>
  </si>
  <si>
    <t>Montar la camara, calibrar y operar el sistema durante un partido real. HITO del proyecto.</t>
  </si>
  <si>
    <t>Se completa un partido con datos capturados y recomendaciones emitidas de punta a punta.</t>
  </si>
  <si>
    <t>T-107</t>
  </si>
  <si>
    <t>Medicion de criterios de calidad</t>
  </si>
  <si>
    <t>Medir latencia, error de calibracion, mAP, IDF1 y porcentaje de recomendaciones utiles.</t>
  </si>
  <si>
    <t>Todos los criterios del punto h del Sprint 0 quedan medidos con su valor real.</t>
  </si>
  <si>
    <t>T-108</t>
  </si>
  <si>
    <t>Sprint Review final y retrospectiva</t>
  </si>
  <si>
    <t>Demostracion del incremento completo, aceptacion del Product Owner y retrospectiva del proyecto.</t>
  </si>
  <si>
    <t>El Product Owner acepta el incremento y la retrospectiva queda documentada.</t>
  </si>
  <si>
    <t>Mapa de apropiacion: quien es dueno de cada caso de uso</t>
  </si>
  <si>
    <t>Cada caso de uso tiene duenos con nombre y apellido que lo llevan de la base de datos a la pantalla. Si falta una capa, el caso de uso no esta terminado.</t>
  </si>
  <si>
    <t>Paquete</t>
  </si>
  <si>
    <t>Nombre</t>
  </si>
  <si>
    <t>Duenos</t>
  </si>
  <si>
    <t>Tareas</t>
  </si>
  <si>
    <t>Capas cubiertas</t>
  </si>
  <si>
    <t>P1</t>
  </si>
  <si>
    <t>Plataforma, Producto · P1</t>
  </si>
  <si>
    <t>Daniel, Jhon</t>
  </si>
  <si>
    <t>T-003, T-014</t>
  </si>
  <si>
    <t>Backend · Web</t>
  </si>
  <si>
    <t>Iniciar sesion</t>
  </si>
  <si>
    <t>Plataforma, Producto · P1, Producto · P2</t>
  </si>
  <si>
    <t>Alex, Daniel, Jhon</t>
  </si>
  <si>
    <t>T-004, T-013, T-021</t>
  </si>
  <si>
    <t>Backend · Movil · Web</t>
  </si>
  <si>
    <t>Cerrar sesion</t>
  </si>
  <si>
    <t>Plataforma, Producto · P2</t>
  </si>
  <si>
    <t>Alex, Daniel</t>
  </si>
  <si>
    <t>T-004, T-022</t>
  </si>
  <si>
    <t>Backend · Movil</t>
  </si>
  <si>
    <t>Alejandra, Daniel</t>
  </si>
  <si>
    <t>T-005, T-017</t>
  </si>
  <si>
    <t>Administrar perfil propio</t>
  </si>
  <si>
    <t>Producto · P1, Producto · P2</t>
  </si>
  <si>
    <t>Alejandra, Araceli</t>
  </si>
  <si>
    <t>T-018, T-025</t>
  </si>
  <si>
    <t>Movil · Web</t>
  </si>
  <si>
    <t>P2</t>
  </si>
  <si>
    <t>Gestionar equipos</t>
  </si>
  <si>
    <t>T-037, T-041, T-044</t>
  </si>
  <si>
    <t>Registrar indumentaria del equipo</t>
  </si>
  <si>
    <t>T-038, T-041</t>
  </si>
  <si>
    <t>Gestionar jugadores</t>
  </si>
  <si>
    <t>T-039, T-042, T-045</t>
  </si>
  <si>
    <t>Importar plantel desde archivo</t>
  </si>
  <si>
    <t>T-040, T-043</t>
  </si>
  <si>
    <t>Gestionar competiciones</t>
  </si>
  <si>
    <t>Programar partido</t>
  </si>
  <si>
    <t>T-047, T-049</t>
  </si>
  <si>
    <t>Consultar agenda de partidos</t>
  </si>
  <si>
    <t>Araceli, Susana</t>
  </si>
  <si>
    <t>T-050, T-052, T-054</t>
  </si>
  <si>
    <t>CU-16</t>
  </si>
  <si>
    <t>Reprogramar o cancelar partido</t>
  </si>
  <si>
    <t>Definir alineacion y formacion</t>
  </si>
  <si>
    <t>T-048, T-051, T-053</t>
  </si>
  <si>
    <t>P3</t>
  </si>
  <si>
    <t>Consultar guia de montaje de camara</t>
  </si>
  <si>
    <t>Calibrar camara</t>
  </si>
  <si>
    <t>T-028, T-030</t>
  </si>
  <si>
    <t>CU-20</t>
  </si>
  <si>
    <t>Registrar medidas de la cancha</t>
  </si>
  <si>
    <t>Validar error de calibracion</t>
  </si>
  <si>
    <t>T-029, T-031</t>
  </si>
  <si>
    <t>Detectar y seguir jugadores y balon</t>
  </si>
  <si>
    <t>Clasificar jugadores por equipo</t>
  </si>
  <si>
    <t>Proyectar posiciones al plano</t>
  </si>
  <si>
    <t>T-057, T-058</t>
  </si>
  <si>
    <t>Procesar video grabado</t>
  </si>
  <si>
    <t>T-061, T-062</t>
  </si>
  <si>
    <t>Cargar video de partido</t>
  </si>
  <si>
    <t>T-060, T-062</t>
  </si>
  <si>
    <t>Gestionar versiones del modelo</t>
  </si>
  <si>
    <t>Alex, Araceli</t>
  </si>
  <si>
    <t>T-059, T-063</t>
  </si>
  <si>
    <t>P4</t>
  </si>
  <si>
    <t>Iniciar y finalizar partido</t>
  </si>
  <si>
    <t>T-065, T-068, T-071</t>
  </si>
  <si>
    <t>CU-31</t>
  </si>
  <si>
    <t>Definir direccion de ataque</t>
  </si>
  <si>
    <t>Sincronizar captura pendiente</t>
  </si>
  <si>
    <t>Asignar jugadores a identificadores</t>
  </si>
  <si>
    <t>T-067, T-072</t>
  </si>
  <si>
    <t>CU-35</t>
  </si>
  <si>
    <t>Reasignar identificador</t>
  </si>
  <si>
    <t>CU-36</t>
  </si>
  <si>
    <t>Registrar gol</t>
  </si>
  <si>
    <t>T-066, T-069</t>
  </si>
  <si>
    <t>CU-37</t>
  </si>
  <si>
    <t>Registrar tarjeta</t>
  </si>
  <si>
    <t>CU-38</t>
  </si>
  <si>
    <t>Registrar sustitucion</t>
  </si>
  <si>
    <t>P5</t>
  </si>
  <si>
    <t>Visualizar panel del partido en vivo</t>
  </si>
  <si>
    <t>T-077, T-080</t>
  </si>
  <si>
    <t>Visualizar plano 2D de posiciones</t>
  </si>
  <si>
    <t>Consultar posesion y circulacion</t>
  </si>
  <si>
    <t>Consultar metricas fisicas</t>
  </si>
  <si>
    <t>T-075, T-081</t>
  </si>
  <si>
    <t>Consultar mapas de calor</t>
  </si>
  <si>
    <t>Consultar metricas tacticas colectivas</t>
  </si>
  <si>
    <t>Consultar evolucion por intervalos</t>
  </si>
  <si>
    <t>CU-47</t>
  </si>
  <si>
    <t>Consultar linea de tiempo</t>
  </si>
  <si>
    <t>CU-48</t>
  </si>
  <si>
    <t>Consultar red de pases</t>
  </si>
  <si>
    <t>P6</t>
  </si>
  <si>
    <t>Evaluar reglas tacticas</t>
  </si>
  <si>
    <t>Daniel, Susana</t>
  </si>
  <si>
    <t>T-082, T-083, T-086</t>
  </si>
  <si>
    <t>Recibir recomendacion tactica</t>
  </si>
  <si>
    <t>T-090, T-094</t>
  </si>
  <si>
    <t>Registrar valoracion de recomendacion</t>
  </si>
  <si>
    <t>T-091, T-095</t>
  </si>
  <si>
    <t>CU-52</t>
  </si>
  <si>
    <t>Recibir alerta de estado de jugador</t>
  </si>
  <si>
    <t>Recibir notificacion push</t>
  </si>
  <si>
    <t>T-087, T-096</t>
  </si>
  <si>
    <t>Gestionar catalogo de reglas</t>
  </si>
  <si>
    <t>Generar informe post-partido</t>
  </si>
  <si>
    <t>T-098, T-100, T-104</t>
  </si>
  <si>
    <t>Exportar metricas</t>
  </si>
  <si>
    <t>52 casos de uso cubiertos. Verde = las 3 capas (Backend, Web y Movil); azul = 2 capas; gris = 1 capa.</t>
  </si>
  <si>
    <t>Carriles, parejas y rotacion tecnologica</t>
  </si>
  <si>
    <t>Nadie repite pareja y los seis pasan por el carril de Plataforma. Cada integrante trabaja en Backend, Web y Movil a lo largo del proyecto.</t>
  </si>
  <si>
    <t>S1 · Cimientos y acceso</t>
  </si>
  <si>
    <t>S2 · Plantel, partidos y ca</t>
  </si>
  <si>
    <t>S3 · Partido en vivo y metr</t>
  </si>
  <si>
    <t>S4 · Asistencia al DT, inte</t>
  </si>
  <si>
    <t>Integr.</t>
  </si>
  <si>
    <t>Total</t>
  </si>
  <si>
    <t>Plataforma
Backend</t>
  </si>
  <si>
    <t>Producto · P1
Backend, Web</t>
  </si>
  <si>
    <t>Producto · P2
Web, Movil</t>
  </si>
  <si>
    <t>Plataforma
Backend, Integracion</t>
  </si>
  <si>
    <t>Producto · P1
Web</t>
  </si>
  <si>
    <t>Plataforma
Web, Backend</t>
  </si>
  <si>
    <t>Producto · P2
Backend, Web</t>
  </si>
  <si>
    <t>Producto · P1
Movil, Backend</t>
  </si>
  <si>
    <t>Plataforma
Integracion, Backend</t>
  </si>
  <si>
    <t>Producto · P2
Movil</t>
  </si>
  <si>
    <t>Producto · P2
Web, Integracion</t>
  </si>
  <si>
    <t>Producto · P2
Backend, Movil</t>
  </si>
  <si>
    <t>Producto · P1
Web, QA</t>
  </si>
  <si>
    <t>Producto · P2
Movil, Backend</t>
  </si>
  <si>
    <t>Plataforma
Backend, Web</t>
  </si>
  <si>
    <t>Producto · P1
Movil, Web</t>
  </si>
  <si>
    <t>Parejas por sprint</t>
  </si>
  <si>
    <t>Integrantes</t>
  </si>
  <si>
    <t>Alejandra, Jhon</t>
  </si>
  <si>
    <t>Jhon, Susana</t>
  </si>
  <si>
    <t>Alex, Jhon</t>
  </si>
  <si>
    <t>Dependencias y estrategias anti-bloqueo</t>
  </si>
  <si>
    <t>28 dependencias cruzadas sobre 108 tareas, pero solo 9 atraviesan una frontera organizativa real. El resto son entre dos personas que trabajan juntas.</t>
  </si>
  <si>
    <t>Clasificacion</t>
  </si>
  <si>
    <t>Tareas sin ninguna dependencia</t>
  </si>
  <si>
    <t>Arrancan el dia 1 de su sprint sin esperar a nadie.</t>
  </si>
  <si>
    <t>Dependen de una tarea propia</t>
  </si>
  <si>
    <t>Es el orden del trabajo de una misma persona. No bloquea a nadie.</t>
  </si>
  <si>
    <t>Dependen de otro integrante, sprint anterior</t>
  </si>
  <si>
    <t>Ya estaba entregado y aceptado. No bloquea.</t>
  </si>
  <si>
    <t>Dependen de otro integrante, mismo sprint</t>
  </si>
  <si>
    <t>Se clasifican abajo segun que frontera cruzan.</t>
  </si>
  <si>
    <t xml:space="preserve">   · dentro de la misma pareja</t>
  </si>
  <si>
    <t>Se sientan al lado y coordinan a diario. Riesgo bajo.</t>
  </si>
  <si>
    <t xml:space="preserve">   · dentro del carril Plataforma</t>
  </si>
  <si>
    <t>Dos personas en el mismo carril. Riesgo bajo.</t>
  </si>
  <si>
    <t xml:space="preserve">   · de Plataforma hacia una pareja</t>
  </si>
  <si>
    <t>Frontera real: la pareja consume lo que produce Plataforma.</t>
  </si>
  <si>
    <t xml:space="preserve">   · entre parejas distintas</t>
  </si>
  <si>
    <t>Frontera real. Es lo que el modelo busca minimizar.</t>
  </si>
  <si>
    <t>De esas 28, 16 tienen solape de fechas. Todas arrancan contra mocks, datos simulados o el emisor de posiciones, y conectan la fuente real al cerrar.</t>
  </si>
  <si>
    <t>Tarea</t>
  </si>
  <si>
    <t>Resp.</t>
  </si>
  <si>
    <t>Depende de</t>
  </si>
  <si>
    <t>Resp. dep.</t>
  </si>
  <si>
    <t>Frontera</t>
  </si>
  <si>
    <t>Solape</t>
  </si>
  <si>
    <t>Estrategia para Evitar Bloqueo</t>
  </si>
  <si>
    <t>Entre parejas</t>
  </si>
  <si>
    <t>14 dias</t>
  </si>
  <si>
    <t>Se desarrolla contra el mock o los datos simulados del contrato y conecta la fuente real al cerrar la tarea.</t>
  </si>
  <si>
    <t>5 dias</t>
  </si>
  <si>
    <t>El andamiaje del cliente (interceptores, errores) no necesita el mock: se construye primero y se conecta al final.</t>
  </si>
  <si>
    <t>Plataforma -&gt; Producto</t>
  </si>
  <si>
    <t>15 dias</t>
  </si>
  <si>
    <t>8 dias</t>
  </si>
  <si>
    <t>4 dias</t>
  </si>
  <si>
    <t>Alejandra construye el componente con recomendaciones simuladas de la forma del contrato, acordado con Daniel el dia 1.</t>
  </si>
  <si>
    <t>sin solape</t>
  </si>
  <si>
    <t>Las rutas y DTOs se bosquejan el dia 1 y se congelan el dia 5. Habilita a los otros cinco: si se atrasa, se atrasa todo.</t>
  </si>
  <si>
    <t>Alejandra usa recomendaciones simuladas. Ambos acuerdan el contrato con Daniel el dia 1.</t>
  </si>
  <si>
    <t>Dentro de Plataforma</t>
  </si>
  <si>
    <t>1 dias</t>
  </si>
  <si>
    <t>Misma pareja</t>
  </si>
  <si>
    <t>Cuellos de botella y camino critico</t>
  </si>
  <si>
    <t>Por que es critica</t>
  </si>
  <si>
    <t>Contratos OpenAPI</t>
  </si>
  <si>
    <t>Habilita los mocks y con ellos el trabajo paralelo de los otros cinco. Si se atrasa, se atrasa el proyecto entero.</t>
  </si>
  <si>
    <t>Requisito transversal. Si no esta en el Sprint 1, todos los endpoints posteriores nacen sin proteccion.</t>
  </si>
  <si>
    <t>Nucleo geometrico. Si falla, ninguna metrica espacial es valida. Se hace en pareja.</t>
  </si>
  <si>
    <t>Desbloquea a las dos parejas un sprint antes de que exista el worker. Segunda tarea anti-bloqueo despues de T-001.</t>
  </si>
  <si>
    <t>Requiere la maquina con GPU confirmada desde el Sprint 1. Si se atrasa, se entrega sobre video grabado y se documenta.</t>
  </si>
  <si>
    <t>Nucleo del producto. Cuatro tareas de las dos parejas dependen de el. Arranca el dia 1 del sprint y se hace en pareja con Susana.</t>
  </si>
  <si>
    <t>Depende de conseguir cancha y partido: reservar la fecha desde el Sprint 3.</t>
  </si>
  <si>
    <t>Resumen por Sprint</t>
  </si>
  <si>
    <t>Los valores se calculan con formulas sobre la hoja Sprint Planning: si cambia una tarea, el resumen se actualiza solo.</t>
  </si>
  <si>
    <t>Dias</t>
  </si>
  <si>
    <t>Prior. Alta</t>
  </si>
  <si>
    <t>Casos de uso entregados</t>
  </si>
  <si>
    <t>CU-01, CU-02, CU-03, CU-04, CU-05</t>
  </si>
  <si>
    <t>CU-09, CU-10, CU-11, CU-12, CU-13, CU-14, CU-15, CU-16, CU-17, CU-18, CU-19, CU-20, CU-21, CU-22, CU-23</t>
  </si>
  <si>
    <t>CU-24, CU-25, CU-26, CU-27, CU-28, CU-29, CU-30, CU-31, CU-33, CU-34, CU-35, CU-36, CU-37, CU-38, CU-39, CU-40, CU-41, CU-42, CU-43, CU-44, CU-46</t>
  </si>
  <si>
    <t>CU-45, CU-47, CU-48, CU-49, CU-50, CU-51, CU-52, CU-53, CU-54, CU-55, CU-56</t>
  </si>
  <si>
    <t>TOTAL</t>
  </si>
  <si>
    <t>52 casos de uso · sistema completo el 13/11/2026</t>
  </si>
  <si>
    <t>Analisis de calidad de la planificacion</t>
  </si>
  <si>
    <t>Modelo elegido</t>
  </si>
  <si>
    <t>Hibrido. El carril de Plataforma toma lo que no se puede rebanar (contratos, multi-tenant, WebSockets, vision); las parejas se apropian de casos de uso completos de la base de datos a la pantalla.</t>
  </si>
  <si>
    <t>Por que no 100% vertical</t>
  </si>
  <si>
    <t>Con 6 personas haciendo rebanadas, los 6 editan el sistema de diseno, el cliente HTTP y las dependencias compartidas al mismo tiempo. Y el worker de vision no es una rebanada: es trabajo especializado de semanas.</t>
  </si>
  <si>
    <t>Por que no 100% horizontal</t>
  </si>
  <si>
    <t>Es el modelo donde mueren los proyectos grupales: la API queda lista y nadie hace la pantalla. Con casos de uso, si falta una capa el caso de uso no esta terminado y tiene dueno.</t>
  </si>
  <si>
    <t>Dependencias</t>
  </si>
  <si>
    <t>28 cruzadas dentro del mismo sprint, frente a 33 en la version por tecnologia. Pero solo 9 atraviesan una frontera organizativa real (7 de Plataforma hacia una pareja y 2 entre parejas). Las otras 19 son entre dos personas que trabajan juntas a diario.</t>
  </si>
  <si>
    <t>Carga por integrante</t>
  </si>
  <si>
    <t>Entre 17 y 19 tareas cada uno. Dentro de cada sprint, entre 4 y 5 tareas encadenadas, nunca dos a la vez.</t>
  </si>
  <si>
    <t>Rotacion</t>
  </si>
  <si>
    <t>Los seis pasan por el carril de Plataforma y nadie repite pareja. Todos trabajan en Backend, Web y Movil a lo largo del proyecto.</t>
  </si>
  <si>
    <t>Cambio de contexto</t>
  </si>
  <si>
    <t>La pareja lo reparte: uno toma Backend y Web, el otro Movil. Nadie escribe Python, TypeScript y Dart el mismo dia.</t>
  </si>
  <si>
    <t>Tareas grandes</t>
  </si>
  <si>
    <t>T-051 editor de alineacion, T-055 worker de vision y T-082 motor de reglas se revisan a mitad de sprint y se parten si van atrasadas.</t>
  </si>
  <si>
    <t>Cierre</t>
  </si>
  <si>
    <t>El Sprint 4 esta partido: desarrollo hasta el 04/11 y estabilizacion pura del 05/11 al 13/11, con la prueba en cancha real al inicio para dejar margen de correccion.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</si>
</sst>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14" x14ac:knownFonts="1">
    <font>
      <sz val="11"/>
      <color theme="1"/>
      <name val="Calibri"/>
      <family val="2"/>
      <scheme val="minor"/>
    </font>
    <font>
      <b/>
      <sz val="14"/>
      <color rgb="FF0B6B45"/>
      <name val="Arial"/>
    </font>
    <font>
      <i/>
      <sz val="10"/>
      <color rgb="FF4C5C51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0B6B45"/>
      <name val="Arial"/>
    </font>
    <font>
      <b/>
      <sz val="10"/>
      <name val="Arial"/>
    </font>
    <font>
      <b/>
      <sz val="10"/>
      <color rgb="FFA2372A"/>
      <name val="Arial"/>
    </font>
    <font>
      <b/>
      <sz val="10"/>
      <color rgb="FFB36C13"/>
      <name val="Arial"/>
    </font>
    <font>
      <b/>
      <sz val="10"/>
      <color rgb="FF74847A"/>
      <name val="Arial"/>
    </font>
    <font>
      <b/>
      <sz val="11"/>
      <name val="Arial"/>
    </font>
    <font>
      <i/>
      <sz val="10"/>
      <color rgb="FFB36C13"/>
      <name val="Arial"/>
    </font>
    <font>
      <b/>
      <sz val="9.5"/>
      <name val="Arial"/>
    </font>
    <font>
      <sz val="9.5"/>
      <name val="Arial"/>
    </font>
  </fonts>
  <fills count="10">
    <fill>
      <patternFill patternType="none"/>
    </fill>
    <fill>
      <patternFill patternType="gray125"/>
    </fill>
    <fill>
      <patternFill patternType="solid">
        <fgColor rgb="FF0B6B45"/>
      </patternFill>
    </fill>
    <fill>
      <patternFill patternType="solid">
        <fgColor rgb="FFF5F7F5"/>
      </patternFill>
    </fill>
    <fill>
      <patternFill patternType="solid">
        <fgColor rgb="FFF4E0DC"/>
      </patternFill>
    </fill>
    <fill>
      <patternFill patternType="solid">
        <fgColor rgb="FFDCEBE2"/>
      </patternFill>
    </fill>
    <fill>
      <patternFill patternType="solid">
        <fgColor rgb="FFF7E9D5"/>
      </patternFill>
    </fill>
    <fill>
      <patternFill patternType="solid">
        <fgColor rgb="FFE4EDF6"/>
      </patternFill>
    </fill>
    <fill>
      <patternFill patternType="solid">
        <fgColor rgb="FFF1E7F0"/>
      </patternFill>
    </fill>
    <fill>
      <patternFill patternType="solid">
        <fgColor rgb="FFE7ECE7"/>
      </patternFill>
    </fill>
  </fills>
  <borders count="2">
    <border>
      <left/>
      <right/>
      <top/>
      <bottom/>
      <diagonal/>
    </border>
    <border>
      <left style="thin">
        <color rgb="FFCDD6CE"/>
      </left>
      <right style="thin">
        <color rgb="FFCDD6CE"/>
      </right>
      <top style="thin">
        <color rgb="FFCDD6CE"/>
      </top>
      <bottom style="thin">
        <color rgb="FFCDD6CE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top" wrapText="1"/>
    </xf>
    <xf numFmtId="165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6" fillId="0" borderId="0" xfId="0" applyFont="1"/>
    <xf numFmtId="0" fontId="4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2" fillId="0" borderId="0" xfId="0" applyFont="1"/>
    <xf numFmtId="0" fontId="11" fillId="0" borderId="0" xfId="0" applyFont="1"/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4" fillId="0" borderId="1" xfId="0" applyFont="1" applyBorder="1"/>
    <xf numFmtId="0" fontId="4" fillId="3" borderId="1" xfId="0" applyFont="1" applyFill="1" applyBorder="1" applyAlignment="1">
      <alignment vertical="top" wrapText="1"/>
    </xf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30" customWidth="1"/>
    <col min="3" max="4" width="13" customWidth="1"/>
    <col min="5" max="5" width="26" customWidth="1"/>
    <col min="6" max="6" width="62" customWidth="1"/>
    <col min="7" max="7" width="66" customWidth="1"/>
  </cols>
  <sheetData>
    <row r="1" spans="1:7" ht="18" x14ac:dyDescent="0.25">
      <c r="A1" s="1" t="s">
        <v>0</v>
      </c>
    </row>
    <row r="2" spans="1:7" x14ac:dyDescent="0.25">
      <c r="A2" s="2" t="s">
        <v>1</v>
      </c>
    </row>
    <row r="4" spans="1:7" ht="30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66" customHeight="1" x14ac:dyDescent="0.25">
      <c r="A5" s="4" t="s">
        <v>9</v>
      </c>
      <c r="B5" s="5" t="s">
        <v>10</v>
      </c>
      <c r="C5" s="6">
        <v>46260</v>
      </c>
      <c r="D5" s="6">
        <v>46279</v>
      </c>
      <c r="E5" s="7" t="s">
        <v>11</v>
      </c>
      <c r="F5" s="8" t="s">
        <v>12</v>
      </c>
      <c r="G5" s="8" t="s">
        <v>13</v>
      </c>
    </row>
    <row r="6" spans="1:7" ht="66" customHeight="1" x14ac:dyDescent="0.25">
      <c r="A6" s="9" t="s">
        <v>14</v>
      </c>
      <c r="B6" s="10" t="s">
        <v>15</v>
      </c>
      <c r="C6" s="11">
        <v>46280</v>
      </c>
      <c r="D6" s="11">
        <v>46299</v>
      </c>
      <c r="E6" s="12" t="s">
        <v>16</v>
      </c>
      <c r="F6" s="13" t="s">
        <v>17</v>
      </c>
      <c r="G6" s="13" t="s">
        <v>18</v>
      </c>
    </row>
    <row r="7" spans="1:7" ht="66" customHeight="1" x14ac:dyDescent="0.25">
      <c r="A7" s="4" t="s">
        <v>19</v>
      </c>
      <c r="B7" s="5" t="s">
        <v>20</v>
      </c>
      <c r="C7" s="6">
        <v>46300</v>
      </c>
      <c r="D7" s="6">
        <v>46319</v>
      </c>
      <c r="E7" s="7" t="s">
        <v>16</v>
      </c>
      <c r="F7" s="8" t="s">
        <v>21</v>
      </c>
      <c r="G7" s="8" t="s">
        <v>22</v>
      </c>
    </row>
    <row r="8" spans="1:7" ht="66" customHeight="1" x14ac:dyDescent="0.25">
      <c r="A8" s="9" t="s">
        <v>23</v>
      </c>
      <c r="B8" s="10" t="s">
        <v>24</v>
      </c>
      <c r="C8" s="11">
        <v>46320</v>
      </c>
      <c r="D8" s="11">
        <v>46339</v>
      </c>
      <c r="E8" s="12" t="s">
        <v>25</v>
      </c>
      <c r="F8" s="13" t="s">
        <v>26</v>
      </c>
      <c r="G8" s="13" t="s">
        <v>27</v>
      </c>
    </row>
    <row r="10" spans="1:7" x14ac:dyDescent="0.25">
      <c r="A10" s="14" t="s">
        <v>28</v>
      </c>
    </row>
    <row r="11" spans="1:7" ht="26.1" customHeight="1" x14ac:dyDescent="0.25">
      <c r="A11" s="39" t="s">
        <v>29</v>
      </c>
      <c r="B11" s="40"/>
      <c r="C11" s="40"/>
      <c r="D11" s="40"/>
      <c r="E11" s="40"/>
      <c r="F11" s="40"/>
      <c r="G11" s="40"/>
    </row>
    <row r="12" spans="1:7" ht="26.1" customHeight="1" x14ac:dyDescent="0.25">
      <c r="A12" s="39" t="s">
        <v>30</v>
      </c>
      <c r="B12" s="40"/>
      <c r="C12" s="40"/>
      <c r="D12" s="40"/>
      <c r="E12" s="40"/>
      <c r="F12" s="40"/>
      <c r="G12" s="40"/>
    </row>
    <row r="13" spans="1:7" ht="26.1" customHeight="1" x14ac:dyDescent="0.25">
      <c r="A13" s="39" t="s">
        <v>31</v>
      </c>
      <c r="B13" s="40"/>
      <c r="C13" s="40"/>
      <c r="D13" s="40"/>
      <c r="E13" s="40"/>
      <c r="F13" s="40"/>
      <c r="G13" s="40"/>
    </row>
    <row r="14" spans="1:7" ht="26.1" customHeight="1" x14ac:dyDescent="0.25">
      <c r="A14" s="39" t="s">
        <v>32</v>
      </c>
      <c r="B14" s="40"/>
      <c r="C14" s="40"/>
      <c r="D14" s="40"/>
      <c r="E14" s="40"/>
      <c r="F14" s="40"/>
      <c r="G14" s="40"/>
    </row>
  </sheetData>
  <mergeCells count="4">
    <mergeCell ref="A13:G13"/>
    <mergeCell ref="A14:G14"/>
    <mergeCell ref="A11:G1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9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9" customWidth="1"/>
    <col min="2" max="2" width="8" customWidth="1"/>
    <col min="3" max="3" width="15" customWidth="1"/>
    <col min="4" max="4" width="12" customWidth="1"/>
    <col min="5" max="5" width="15" customWidth="1"/>
    <col min="6" max="6" width="36" customWidth="1"/>
    <col min="7" max="7" width="72" customWidth="1"/>
    <col min="8" max="8" width="12" customWidth="1"/>
    <col min="9" max="9" width="10" customWidth="1"/>
    <col min="10" max="12" width="12" customWidth="1"/>
    <col min="13" max="13" width="11" customWidth="1"/>
    <col min="14" max="14" width="60" customWidth="1"/>
  </cols>
  <sheetData>
    <row r="1" spans="1:14" ht="30" customHeight="1" x14ac:dyDescent="0.25">
      <c r="A1" s="3" t="s">
        <v>33</v>
      </c>
      <c r="B1" s="3" t="s">
        <v>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</v>
      </c>
      <c r="K1" s="3" t="s">
        <v>41</v>
      </c>
      <c r="L1" s="3" t="s">
        <v>42</v>
      </c>
      <c r="M1" s="3" t="s">
        <v>43</v>
      </c>
      <c r="N1" s="3" t="s">
        <v>44</v>
      </c>
    </row>
    <row r="2" spans="1:14" ht="44.1" customHeight="1" x14ac:dyDescent="0.25">
      <c r="A2" s="4" t="s">
        <v>45</v>
      </c>
      <c r="B2" s="7" t="s">
        <v>9</v>
      </c>
      <c r="C2" s="15" t="s">
        <v>46</v>
      </c>
      <c r="D2" s="7" t="s">
        <v>47</v>
      </c>
      <c r="E2" s="4" t="s">
        <v>48</v>
      </c>
      <c r="F2" s="5" t="s">
        <v>49</v>
      </c>
      <c r="G2" s="8" t="s">
        <v>50</v>
      </c>
      <c r="H2" s="16" t="s">
        <v>51</v>
      </c>
      <c r="I2" s="17" t="s">
        <v>52</v>
      </c>
      <c r="J2" s="6">
        <v>46260</v>
      </c>
      <c r="K2" s="6">
        <v>46264</v>
      </c>
      <c r="L2" s="7" t="s">
        <v>53</v>
      </c>
      <c r="M2" s="7" t="s">
        <v>54</v>
      </c>
      <c r="N2" s="8" t="s">
        <v>55</v>
      </c>
    </row>
    <row r="3" spans="1:14" ht="44.1" customHeight="1" x14ac:dyDescent="0.25">
      <c r="A3" s="9" t="s">
        <v>56</v>
      </c>
      <c r="B3" s="12" t="s">
        <v>9</v>
      </c>
      <c r="C3" s="15" t="s">
        <v>46</v>
      </c>
      <c r="D3" s="12" t="s">
        <v>47</v>
      </c>
      <c r="E3" s="9" t="s">
        <v>48</v>
      </c>
      <c r="F3" s="10" t="s">
        <v>57</v>
      </c>
      <c r="G3" s="13" t="s">
        <v>58</v>
      </c>
      <c r="H3" s="16" t="s">
        <v>51</v>
      </c>
      <c r="I3" s="17" t="s">
        <v>52</v>
      </c>
      <c r="J3" s="11">
        <v>46264</v>
      </c>
      <c r="K3" s="11">
        <v>46268</v>
      </c>
      <c r="L3" s="12" t="s">
        <v>45</v>
      </c>
      <c r="M3" s="12" t="s">
        <v>54</v>
      </c>
      <c r="N3" s="13" t="s">
        <v>59</v>
      </c>
    </row>
    <row r="4" spans="1:14" ht="44.1" customHeight="1" x14ac:dyDescent="0.25">
      <c r="A4" s="4" t="s">
        <v>60</v>
      </c>
      <c r="B4" s="7" t="s">
        <v>9</v>
      </c>
      <c r="C4" s="15" t="s">
        <v>46</v>
      </c>
      <c r="D4" s="7" t="s">
        <v>47</v>
      </c>
      <c r="E4" s="4" t="s">
        <v>61</v>
      </c>
      <c r="F4" s="5" t="s">
        <v>62</v>
      </c>
      <c r="G4" s="8" t="s">
        <v>63</v>
      </c>
      <c r="H4" s="16" t="s">
        <v>51</v>
      </c>
      <c r="I4" s="17" t="s">
        <v>52</v>
      </c>
      <c r="J4" s="6">
        <v>46268</v>
      </c>
      <c r="K4" s="6">
        <v>46271</v>
      </c>
      <c r="L4" s="7" t="s">
        <v>56</v>
      </c>
      <c r="M4" s="7" t="s">
        <v>54</v>
      </c>
      <c r="N4" s="8" t="s">
        <v>64</v>
      </c>
    </row>
    <row r="5" spans="1:14" ht="44.1" customHeight="1" x14ac:dyDescent="0.25">
      <c r="A5" s="9" t="s">
        <v>65</v>
      </c>
      <c r="B5" s="12" t="s">
        <v>9</v>
      </c>
      <c r="C5" s="15" t="s">
        <v>46</v>
      </c>
      <c r="D5" s="12" t="s">
        <v>47</v>
      </c>
      <c r="E5" s="9" t="s">
        <v>66</v>
      </c>
      <c r="F5" s="10" t="s">
        <v>67</v>
      </c>
      <c r="G5" s="13" t="s">
        <v>68</v>
      </c>
      <c r="H5" s="16" t="s">
        <v>51</v>
      </c>
      <c r="I5" s="17" t="s">
        <v>52</v>
      </c>
      <c r="J5" s="11">
        <v>46271</v>
      </c>
      <c r="K5" s="11">
        <v>46275</v>
      </c>
      <c r="L5" s="12" t="s">
        <v>60</v>
      </c>
      <c r="M5" s="12" t="s">
        <v>54</v>
      </c>
      <c r="N5" s="13" t="s">
        <v>69</v>
      </c>
    </row>
    <row r="6" spans="1:14" ht="44.1" customHeight="1" x14ac:dyDescent="0.25">
      <c r="A6" s="4" t="s">
        <v>70</v>
      </c>
      <c r="B6" s="7" t="s">
        <v>9</v>
      </c>
      <c r="C6" s="15" t="s">
        <v>46</v>
      </c>
      <c r="D6" s="7" t="s">
        <v>47</v>
      </c>
      <c r="E6" s="4" t="s">
        <v>71</v>
      </c>
      <c r="F6" s="5" t="s">
        <v>72</v>
      </c>
      <c r="G6" s="8" t="s">
        <v>73</v>
      </c>
      <c r="H6" s="16" t="s">
        <v>51</v>
      </c>
      <c r="I6" s="17" t="s">
        <v>52</v>
      </c>
      <c r="J6" s="6">
        <v>46275</v>
      </c>
      <c r="K6" s="6">
        <v>46279</v>
      </c>
      <c r="L6" s="7" t="s">
        <v>65</v>
      </c>
      <c r="M6" s="7" t="s">
        <v>54</v>
      </c>
      <c r="N6" s="8" t="s">
        <v>74</v>
      </c>
    </row>
    <row r="7" spans="1:14" ht="44.1" customHeight="1" x14ac:dyDescent="0.25">
      <c r="A7" s="9" t="s">
        <v>75</v>
      </c>
      <c r="B7" s="12" t="s">
        <v>9</v>
      </c>
      <c r="C7" s="15" t="s">
        <v>46</v>
      </c>
      <c r="D7" s="12" t="s">
        <v>76</v>
      </c>
      <c r="E7" s="9" t="s">
        <v>48</v>
      </c>
      <c r="F7" s="10" t="s">
        <v>77</v>
      </c>
      <c r="G7" s="13" t="s">
        <v>78</v>
      </c>
      <c r="H7" s="16" t="s">
        <v>51</v>
      </c>
      <c r="I7" s="17" t="s">
        <v>52</v>
      </c>
      <c r="J7" s="11">
        <v>46260</v>
      </c>
      <c r="K7" s="11">
        <v>46264</v>
      </c>
      <c r="L7" s="12" t="s">
        <v>53</v>
      </c>
      <c r="M7" s="12" t="s">
        <v>54</v>
      </c>
      <c r="N7" s="13" t="s">
        <v>79</v>
      </c>
    </row>
    <row r="8" spans="1:14" ht="44.1" customHeight="1" x14ac:dyDescent="0.25">
      <c r="A8" s="4" t="s">
        <v>80</v>
      </c>
      <c r="B8" s="7" t="s">
        <v>9</v>
      </c>
      <c r="C8" s="15" t="s">
        <v>46</v>
      </c>
      <c r="D8" s="7" t="s">
        <v>76</v>
      </c>
      <c r="E8" s="4" t="s">
        <v>48</v>
      </c>
      <c r="F8" s="5" t="s">
        <v>81</v>
      </c>
      <c r="G8" s="8" t="s">
        <v>82</v>
      </c>
      <c r="H8" s="16" t="s">
        <v>51</v>
      </c>
      <c r="I8" s="17" t="s">
        <v>52</v>
      </c>
      <c r="J8" s="6">
        <v>46264</v>
      </c>
      <c r="K8" s="6">
        <v>46268</v>
      </c>
      <c r="L8" s="7" t="s">
        <v>75</v>
      </c>
      <c r="M8" s="7" t="s">
        <v>54</v>
      </c>
      <c r="N8" s="8" t="s">
        <v>83</v>
      </c>
    </row>
    <row r="9" spans="1:14" ht="44.1" customHeight="1" x14ac:dyDescent="0.25">
      <c r="A9" s="9" t="s">
        <v>84</v>
      </c>
      <c r="B9" s="12" t="s">
        <v>9</v>
      </c>
      <c r="C9" s="15" t="s">
        <v>46</v>
      </c>
      <c r="D9" s="12" t="s">
        <v>76</v>
      </c>
      <c r="E9" s="9" t="s">
        <v>48</v>
      </c>
      <c r="F9" s="10" t="s">
        <v>85</v>
      </c>
      <c r="G9" s="13" t="s">
        <v>86</v>
      </c>
      <c r="H9" s="16" t="s">
        <v>51</v>
      </c>
      <c r="I9" s="17" t="s">
        <v>52</v>
      </c>
      <c r="J9" s="11">
        <v>46268</v>
      </c>
      <c r="K9" s="11">
        <v>46271</v>
      </c>
      <c r="L9" s="12" t="s">
        <v>80</v>
      </c>
      <c r="M9" s="12" t="s">
        <v>54</v>
      </c>
      <c r="N9" s="13" t="s">
        <v>87</v>
      </c>
    </row>
    <row r="10" spans="1:14" ht="44.1" customHeight="1" x14ac:dyDescent="0.25">
      <c r="A10" s="4" t="s">
        <v>88</v>
      </c>
      <c r="B10" s="7" t="s">
        <v>9</v>
      </c>
      <c r="C10" s="15" t="s">
        <v>46</v>
      </c>
      <c r="D10" s="7" t="s">
        <v>76</v>
      </c>
      <c r="E10" s="4" t="s">
        <v>48</v>
      </c>
      <c r="F10" s="5" t="s">
        <v>89</v>
      </c>
      <c r="G10" s="8" t="s">
        <v>90</v>
      </c>
      <c r="H10" s="16" t="s">
        <v>51</v>
      </c>
      <c r="I10" s="17" t="s">
        <v>52</v>
      </c>
      <c r="J10" s="6">
        <v>46271</v>
      </c>
      <c r="K10" s="6">
        <v>46275</v>
      </c>
      <c r="L10" s="7" t="s">
        <v>56</v>
      </c>
      <c r="M10" s="7" t="s">
        <v>54</v>
      </c>
      <c r="N10" s="8" t="s">
        <v>91</v>
      </c>
    </row>
    <row r="11" spans="1:14" ht="44.1" customHeight="1" x14ac:dyDescent="0.25">
      <c r="A11" s="9" t="s">
        <v>92</v>
      </c>
      <c r="B11" s="12" t="s">
        <v>9</v>
      </c>
      <c r="C11" s="15" t="s">
        <v>46</v>
      </c>
      <c r="D11" s="12" t="s">
        <v>76</v>
      </c>
      <c r="E11" s="9" t="s">
        <v>48</v>
      </c>
      <c r="F11" s="10" t="s">
        <v>93</v>
      </c>
      <c r="G11" s="13" t="s">
        <v>94</v>
      </c>
      <c r="H11" s="16" t="s">
        <v>51</v>
      </c>
      <c r="I11" s="17" t="s">
        <v>52</v>
      </c>
      <c r="J11" s="11">
        <v>46275</v>
      </c>
      <c r="K11" s="11">
        <v>46279</v>
      </c>
      <c r="L11" s="12" t="s">
        <v>88</v>
      </c>
      <c r="M11" s="12" t="s">
        <v>54</v>
      </c>
      <c r="N11" s="13" t="s">
        <v>95</v>
      </c>
    </row>
    <row r="12" spans="1:14" ht="44.1" customHeight="1" x14ac:dyDescent="0.25">
      <c r="A12" s="4" t="s">
        <v>96</v>
      </c>
      <c r="B12" s="7" t="s">
        <v>9</v>
      </c>
      <c r="C12" s="18" t="s">
        <v>97</v>
      </c>
      <c r="D12" s="7" t="s">
        <v>98</v>
      </c>
      <c r="E12" s="4" t="s">
        <v>48</v>
      </c>
      <c r="F12" s="5" t="s">
        <v>99</v>
      </c>
      <c r="G12" s="8" t="s">
        <v>100</v>
      </c>
      <c r="H12" s="19" t="s">
        <v>101</v>
      </c>
      <c r="I12" s="17" t="s">
        <v>52</v>
      </c>
      <c r="J12" s="6">
        <v>46260</v>
      </c>
      <c r="K12" s="6">
        <v>46265</v>
      </c>
      <c r="L12" s="7" t="s">
        <v>53</v>
      </c>
      <c r="M12" s="7" t="s">
        <v>54</v>
      </c>
      <c r="N12" s="8" t="s">
        <v>102</v>
      </c>
    </row>
    <row r="13" spans="1:14" ht="44.1" customHeight="1" x14ac:dyDescent="0.25">
      <c r="A13" s="9" t="s">
        <v>103</v>
      </c>
      <c r="B13" s="12" t="s">
        <v>9</v>
      </c>
      <c r="C13" s="18" t="s">
        <v>97</v>
      </c>
      <c r="D13" s="12" t="s">
        <v>98</v>
      </c>
      <c r="E13" s="9" t="s">
        <v>48</v>
      </c>
      <c r="F13" s="10" t="s">
        <v>104</v>
      </c>
      <c r="G13" s="13" t="s">
        <v>105</v>
      </c>
      <c r="H13" s="19" t="s">
        <v>101</v>
      </c>
      <c r="I13" s="17" t="s">
        <v>52</v>
      </c>
      <c r="J13" s="11">
        <v>46265</v>
      </c>
      <c r="K13" s="11">
        <v>46270</v>
      </c>
      <c r="L13" s="12" t="s">
        <v>45</v>
      </c>
      <c r="M13" s="12" t="s">
        <v>54</v>
      </c>
      <c r="N13" s="13" t="s">
        <v>106</v>
      </c>
    </row>
    <row r="14" spans="1:14" ht="44.1" customHeight="1" x14ac:dyDescent="0.25">
      <c r="A14" s="4" t="s">
        <v>107</v>
      </c>
      <c r="B14" s="7" t="s">
        <v>9</v>
      </c>
      <c r="C14" s="18" t="s">
        <v>97</v>
      </c>
      <c r="D14" s="7" t="s">
        <v>98</v>
      </c>
      <c r="E14" s="4" t="s">
        <v>108</v>
      </c>
      <c r="F14" s="5" t="s">
        <v>109</v>
      </c>
      <c r="G14" s="8" t="s">
        <v>110</v>
      </c>
      <c r="H14" s="19" t="s">
        <v>101</v>
      </c>
      <c r="I14" s="17" t="s">
        <v>52</v>
      </c>
      <c r="J14" s="6">
        <v>46270</v>
      </c>
      <c r="K14" s="6">
        <v>46274</v>
      </c>
      <c r="L14" s="7" t="s">
        <v>103</v>
      </c>
      <c r="M14" s="7" t="s">
        <v>54</v>
      </c>
      <c r="N14" s="8" t="s">
        <v>111</v>
      </c>
    </row>
    <row r="15" spans="1:14" ht="44.1" customHeight="1" x14ac:dyDescent="0.25">
      <c r="A15" s="9" t="s">
        <v>112</v>
      </c>
      <c r="B15" s="12" t="s">
        <v>9</v>
      </c>
      <c r="C15" s="18" t="s">
        <v>97</v>
      </c>
      <c r="D15" s="12" t="s">
        <v>98</v>
      </c>
      <c r="E15" s="9" t="s">
        <v>61</v>
      </c>
      <c r="F15" s="10" t="s">
        <v>113</v>
      </c>
      <c r="G15" s="13" t="s">
        <v>114</v>
      </c>
      <c r="H15" s="19" t="s">
        <v>101</v>
      </c>
      <c r="I15" s="17" t="s">
        <v>52</v>
      </c>
      <c r="J15" s="11">
        <v>46274</v>
      </c>
      <c r="K15" s="11">
        <v>46279</v>
      </c>
      <c r="L15" s="12" t="s">
        <v>103</v>
      </c>
      <c r="M15" s="12" t="s">
        <v>54</v>
      </c>
      <c r="N15" s="13" t="s">
        <v>115</v>
      </c>
    </row>
    <row r="16" spans="1:14" ht="44.1" customHeight="1" x14ac:dyDescent="0.25">
      <c r="A16" s="4" t="s">
        <v>116</v>
      </c>
      <c r="B16" s="7" t="s">
        <v>9</v>
      </c>
      <c r="C16" s="18" t="s">
        <v>97</v>
      </c>
      <c r="D16" s="7" t="s">
        <v>117</v>
      </c>
      <c r="E16" s="4" t="s">
        <v>48</v>
      </c>
      <c r="F16" s="5" t="s">
        <v>118</v>
      </c>
      <c r="G16" s="8" t="s">
        <v>119</v>
      </c>
      <c r="H16" s="19" t="s">
        <v>101</v>
      </c>
      <c r="I16" s="20" t="s">
        <v>120</v>
      </c>
      <c r="J16" s="6">
        <v>46260</v>
      </c>
      <c r="K16" s="6">
        <v>46265</v>
      </c>
      <c r="L16" s="7" t="s">
        <v>53</v>
      </c>
      <c r="M16" s="7" t="s">
        <v>54</v>
      </c>
      <c r="N16" s="8" t="s">
        <v>121</v>
      </c>
    </row>
    <row r="17" spans="1:14" ht="44.1" customHeight="1" x14ac:dyDescent="0.25">
      <c r="A17" s="9" t="s">
        <v>122</v>
      </c>
      <c r="B17" s="12" t="s">
        <v>9</v>
      </c>
      <c r="C17" s="18" t="s">
        <v>97</v>
      </c>
      <c r="D17" s="12" t="s">
        <v>117</v>
      </c>
      <c r="E17" s="9" t="s">
        <v>48</v>
      </c>
      <c r="F17" s="10" t="s">
        <v>123</v>
      </c>
      <c r="G17" s="13" t="s">
        <v>124</v>
      </c>
      <c r="H17" s="19" t="s">
        <v>101</v>
      </c>
      <c r="I17" s="17" t="s">
        <v>52</v>
      </c>
      <c r="J17" s="11">
        <v>46265</v>
      </c>
      <c r="K17" s="11">
        <v>46270</v>
      </c>
      <c r="L17" s="12" t="s">
        <v>96</v>
      </c>
      <c r="M17" s="12" t="s">
        <v>54</v>
      </c>
      <c r="N17" s="13" t="s">
        <v>125</v>
      </c>
    </row>
    <row r="18" spans="1:14" ht="44.1" customHeight="1" x14ac:dyDescent="0.25">
      <c r="A18" s="4" t="s">
        <v>126</v>
      </c>
      <c r="B18" s="7" t="s">
        <v>9</v>
      </c>
      <c r="C18" s="18" t="s">
        <v>97</v>
      </c>
      <c r="D18" s="7" t="s">
        <v>117</v>
      </c>
      <c r="E18" s="4" t="s">
        <v>71</v>
      </c>
      <c r="F18" s="5" t="s">
        <v>127</v>
      </c>
      <c r="G18" s="8" t="s">
        <v>128</v>
      </c>
      <c r="H18" s="19" t="s">
        <v>101</v>
      </c>
      <c r="I18" s="17" t="s">
        <v>52</v>
      </c>
      <c r="J18" s="6">
        <v>46270</v>
      </c>
      <c r="K18" s="6">
        <v>46274</v>
      </c>
      <c r="L18" s="7" t="s">
        <v>103</v>
      </c>
      <c r="M18" s="7" t="s">
        <v>54</v>
      </c>
      <c r="N18" s="8" t="s">
        <v>129</v>
      </c>
    </row>
    <row r="19" spans="1:14" ht="44.1" customHeight="1" x14ac:dyDescent="0.25">
      <c r="A19" s="9" t="s">
        <v>130</v>
      </c>
      <c r="B19" s="12" t="s">
        <v>9</v>
      </c>
      <c r="C19" s="18" t="s">
        <v>97</v>
      </c>
      <c r="D19" s="12" t="s">
        <v>117</v>
      </c>
      <c r="E19" s="9" t="s">
        <v>131</v>
      </c>
      <c r="F19" s="10" t="s">
        <v>132</v>
      </c>
      <c r="G19" s="13" t="s">
        <v>133</v>
      </c>
      <c r="H19" s="19" t="s">
        <v>101</v>
      </c>
      <c r="I19" s="20" t="s">
        <v>120</v>
      </c>
      <c r="J19" s="11">
        <v>46274</v>
      </c>
      <c r="K19" s="11">
        <v>46279</v>
      </c>
      <c r="L19" s="12" t="s">
        <v>122</v>
      </c>
      <c r="M19" s="12" t="s">
        <v>54</v>
      </c>
      <c r="N19" s="13" t="s">
        <v>134</v>
      </c>
    </row>
    <row r="20" spans="1:14" ht="44.1" customHeight="1" x14ac:dyDescent="0.25">
      <c r="A20" s="4" t="s">
        <v>135</v>
      </c>
      <c r="B20" s="7" t="s">
        <v>9</v>
      </c>
      <c r="C20" s="21" t="s">
        <v>136</v>
      </c>
      <c r="D20" s="7" t="s">
        <v>137</v>
      </c>
      <c r="E20" s="4" t="s">
        <v>48</v>
      </c>
      <c r="F20" s="5" t="s">
        <v>138</v>
      </c>
      <c r="G20" s="8" t="s">
        <v>139</v>
      </c>
      <c r="H20" s="22" t="s">
        <v>140</v>
      </c>
      <c r="I20" s="17" t="s">
        <v>52</v>
      </c>
      <c r="J20" s="6">
        <v>46260</v>
      </c>
      <c r="K20" s="6">
        <v>46265</v>
      </c>
      <c r="L20" s="7" t="s">
        <v>53</v>
      </c>
      <c r="M20" s="7" t="s">
        <v>54</v>
      </c>
      <c r="N20" s="8" t="s">
        <v>141</v>
      </c>
    </row>
    <row r="21" spans="1:14" ht="44.1" customHeight="1" x14ac:dyDescent="0.25">
      <c r="A21" s="9" t="s">
        <v>142</v>
      </c>
      <c r="B21" s="12" t="s">
        <v>9</v>
      </c>
      <c r="C21" s="21" t="s">
        <v>136</v>
      </c>
      <c r="D21" s="12" t="s">
        <v>137</v>
      </c>
      <c r="E21" s="9" t="s">
        <v>48</v>
      </c>
      <c r="F21" s="10" t="s">
        <v>143</v>
      </c>
      <c r="G21" s="13" t="s">
        <v>144</v>
      </c>
      <c r="H21" s="22" t="s">
        <v>140</v>
      </c>
      <c r="I21" s="17" t="s">
        <v>52</v>
      </c>
      <c r="J21" s="11">
        <v>46265</v>
      </c>
      <c r="K21" s="11">
        <v>46270</v>
      </c>
      <c r="L21" s="12" t="s">
        <v>103</v>
      </c>
      <c r="M21" s="12" t="s">
        <v>54</v>
      </c>
      <c r="N21" s="13" t="s">
        <v>145</v>
      </c>
    </row>
    <row r="22" spans="1:14" ht="44.1" customHeight="1" x14ac:dyDescent="0.25">
      <c r="A22" s="4" t="s">
        <v>146</v>
      </c>
      <c r="B22" s="7" t="s">
        <v>9</v>
      </c>
      <c r="C22" s="21" t="s">
        <v>136</v>
      </c>
      <c r="D22" s="7" t="s">
        <v>137</v>
      </c>
      <c r="E22" s="4" t="s">
        <v>108</v>
      </c>
      <c r="F22" s="5" t="s">
        <v>147</v>
      </c>
      <c r="G22" s="8" t="s">
        <v>148</v>
      </c>
      <c r="H22" s="22" t="s">
        <v>140</v>
      </c>
      <c r="I22" s="17" t="s">
        <v>52</v>
      </c>
      <c r="J22" s="6">
        <v>46270</v>
      </c>
      <c r="K22" s="6">
        <v>46274</v>
      </c>
      <c r="L22" s="7" t="s">
        <v>142</v>
      </c>
      <c r="M22" s="7" t="s">
        <v>54</v>
      </c>
      <c r="N22" s="8" t="s">
        <v>149</v>
      </c>
    </row>
    <row r="23" spans="1:14" ht="44.1" customHeight="1" x14ac:dyDescent="0.25">
      <c r="A23" s="9" t="s">
        <v>150</v>
      </c>
      <c r="B23" s="12" t="s">
        <v>9</v>
      </c>
      <c r="C23" s="21" t="s">
        <v>136</v>
      </c>
      <c r="D23" s="12" t="s">
        <v>137</v>
      </c>
      <c r="E23" s="9" t="s">
        <v>151</v>
      </c>
      <c r="F23" s="10" t="s">
        <v>152</v>
      </c>
      <c r="G23" s="13" t="s">
        <v>153</v>
      </c>
      <c r="H23" s="22" t="s">
        <v>140</v>
      </c>
      <c r="I23" s="20" t="s">
        <v>120</v>
      </c>
      <c r="J23" s="11">
        <v>46274</v>
      </c>
      <c r="K23" s="11">
        <v>46279</v>
      </c>
      <c r="L23" s="12" t="s">
        <v>146</v>
      </c>
      <c r="M23" s="12" t="s">
        <v>54</v>
      </c>
      <c r="N23" s="13" t="s">
        <v>154</v>
      </c>
    </row>
    <row r="24" spans="1:14" ht="44.1" customHeight="1" x14ac:dyDescent="0.25">
      <c r="A24" s="4" t="s">
        <v>155</v>
      </c>
      <c r="B24" s="7" t="s">
        <v>9</v>
      </c>
      <c r="C24" s="21" t="s">
        <v>136</v>
      </c>
      <c r="D24" s="7" t="s">
        <v>156</v>
      </c>
      <c r="E24" s="4" t="s">
        <v>48</v>
      </c>
      <c r="F24" s="5" t="s">
        <v>157</v>
      </c>
      <c r="G24" s="8" t="s">
        <v>158</v>
      </c>
      <c r="H24" s="22" t="s">
        <v>140</v>
      </c>
      <c r="I24" s="20" t="s">
        <v>120</v>
      </c>
      <c r="J24" s="6">
        <v>46260</v>
      </c>
      <c r="K24" s="6">
        <v>46265</v>
      </c>
      <c r="L24" s="7" t="s">
        <v>53</v>
      </c>
      <c r="M24" s="7" t="s">
        <v>54</v>
      </c>
      <c r="N24" s="8" t="s">
        <v>159</v>
      </c>
    </row>
    <row r="25" spans="1:14" ht="44.1" customHeight="1" x14ac:dyDescent="0.25">
      <c r="A25" s="9" t="s">
        <v>160</v>
      </c>
      <c r="B25" s="12" t="s">
        <v>9</v>
      </c>
      <c r="C25" s="21" t="s">
        <v>136</v>
      </c>
      <c r="D25" s="12" t="s">
        <v>156</v>
      </c>
      <c r="E25" s="9" t="s">
        <v>48</v>
      </c>
      <c r="F25" s="10" t="s">
        <v>161</v>
      </c>
      <c r="G25" s="13" t="s">
        <v>162</v>
      </c>
      <c r="H25" s="22" t="s">
        <v>140</v>
      </c>
      <c r="I25" s="17" t="s">
        <v>52</v>
      </c>
      <c r="J25" s="11">
        <v>46265</v>
      </c>
      <c r="K25" s="11">
        <v>46270</v>
      </c>
      <c r="L25" s="12" t="s">
        <v>135</v>
      </c>
      <c r="M25" s="12" t="s">
        <v>54</v>
      </c>
      <c r="N25" s="13" t="s">
        <v>163</v>
      </c>
    </row>
    <row r="26" spans="1:14" ht="44.1" customHeight="1" x14ac:dyDescent="0.25">
      <c r="A26" s="4" t="s">
        <v>164</v>
      </c>
      <c r="B26" s="7" t="s">
        <v>9</v>
      </c>
      <c r="C26" s="21" t="s">
        <v>136</v>
      </c>
      <c r="D26" s="7" t="s">
        <v>156</v>
      </c>
      <c r="E26" s="4" t="s">
        <v>131</v>
      </c>
      <c r="F26" s="5" t="s">
        <v>165</v>
      </c>
      <c r="G26" s="8" t="s">
        <v>166</v>
      </c>
      <c r="H26" s="22" t="s">
        <v>140</v>
      </c>
      <c r="I26" s="20" t="s">
        <v>120</v>
      </c>
      <c r="J26" s="6">
        <v>46270</v>
      </c>
      <c r="K26" s="6">
        <v>46274</v>
      </c>
      <c r="L26" s="7" t="s">
        <v>146</v>
      </c>
      <c r="M26" s="7" t="s">
        <v>54</v>
      </c>
      <c r="N26" s="8" t="s">
        <v>167</v>
      </c>
    </row>
    <row r="27" spans="1:14" ht="44.1" customHeight="1" x14ac:dyDescent="0.25">
      <c r="A27" s="9" t="s">
        <v>168</v>
      </c>
      <c r="B27" s="12" t="s">
        <v>9</v>
      </c>
      <c r="C27" s="21" t="s">
        <v>136</v>
      </c>
      <c r="D27" s="12" t="s">
        <v>156</v>
      </c>
      <c r="E27" s="9" t="s">
        <v>48</v>
      </c>
      <c r="F27" s="10" t="s">
        <v>169</v>
      </c>
      <c r="G27" s="13" t="s">
        <v>170</v>
      </c>
      <c r="H27" s="22" t="s">
        <v>140</v>
      </c>
      <c r="I27" s="17" t="s">
        <v>52</v>
      </c>
      <c r="J27" s="11">
        <v>46274</v>
      </c>
      <c r="K27" s="11">
        <v>46279</v>
      </c>
      <c r="L27" s="12" t="s">
        <v>146</v>
      </c>
      <c r="M27" s="12" t="s">
        <v>54</v>
      </c>
      <c r="N27" s="13" t="s">
        <v>171</v>
      </c>
    </row>
    <row r="28" spans="1:14" ht="44.1" customHeight="1" x14ac:dyDescent="0.25">
      <c r="A28" s="4" t="s">
        <v>172</v>
      </c>
      <c r="B28" s="7" t="s">
        <v>14</v>
      </c>
      <c r="C28" s="15" t="s">
        <v>46</v>
      </c>
      <c r="D28" s="7" t="s">
        <v>98</v>
      </c>
      <c r="E28" s="4" t="s">
        <v>173</v>
      </c>
      <c r="F28" s="5" t="s">
        <v>174</v>
      </c>
      <c r="G28" s="8" t="s">
        <v>175</v>
      </c>
      <c r="H28" s="19" t="s">
        <v>101</v>
      </c>
      <c r="I28" s="20" t="s">
        <v>120</v>
      </c>
      <c r="J28" s="6">
        <v>46280</v>
      </c>
      <c r="K28" s="6">
        <v>46284</v>
      </c>
      <c r="L28" s="7" t="s">
        <v>122</v>
      </c>
      <c r="M28" s="7" t="s">
        <v>54</v>
      </c>
      <c r="N28" s="8" t="s">
        <v>176</v>
      </c>
    </row>
    <row r="29" spans="1:14" ht="44.1" customHeight="1" x14ac:dyDescent="0.25">
      <c r="A29" s="9" t="s">
        <v>177</v>
      </c>
      <c r="B29" s="12" t="s">
        <v>14</v>
      </c>
      <c r="C29" s="15" t="s">
        <v>46</v>
      </c>
      <c r="D29" s="12" t="s">
        <v>98</v>
      </c>
      <c r="E29" s="9" t="s">
        <v>178</v>
      </c>
      <c r="F29" s="10" t="s">
        <v>179</v>
      </c>
      <c r="G29" s="13" t="s">
        <v>180</v>
      </c>
      <c r="H29" s="16" t="s">
        <v>51</v>
      </c>
      <c r="I29" s="17" t="s">
        <v>52</v>
      </c>
      <c r="J29" s="11">
        <v>46284</v>
      </c>
      <c r="K29" s="11">
        <v>46288</v>
      </c>
      <c r="L29" s="12" t="s">
        <v>56</v>
      </c>
      <c r="M29" s="12" t="s">
        <v>54</v>
      </c>
      <c r="N29" s="13" t="s">
        <v>181</v>
      </c>
    </row>
    <row r="30" spans="1:14" ht="44.1" customHeight="1" x14ac:dyDescent="0.25">
      <c r="A30" s="4" t="s">
        <v>182</v>
      </c>
      <c r="B30" s="7" t="s">
        <v>14</v>
      </c>
      <c r="C30" s="15" t="s">
        <v>46</v>
      </c>
      <c r="D30" s="7" t="s">
        <v>98</v>
      </c>
      <c r="E30" s="4" t="s">
        <v>183</v>
      </c>
      <c r="F30" s="5" t="s">
        <v>184</v>
      </c>
      <c r="G30" s="8" t="s">
        <v>185</v>
      </c>
      <c r="H30" s="16" t="s">
        <v>51</v>
      </c>
      <c r="I30" s="17" t="s">
        <v>52</v>
      </c>
      <c r="J30" s="6">
        <v>46288</v>
      </c>
      <c r="K30" s="6">
        <v>46291</v>
      </c>
      <c r="L30" s="7" t="s">
        <v>177</v>
      </c>
      <c r="M30" s="7" t="s">
        <v>54</v>
      </c>
      <c r="N30" s="8" t="s">
        <v>186</v>
      </c>
    </row>
    <row r="31" spans="1:14" ht="44.1" customHeight="1" x14ac:dyDescent="0.25">
      <c r="A31" s="9" t="s">
        <v>187</v>
      </c>
      <c r="B31" s="12" t="s">
        <v>14</v>
      </c>
      <c r="C31" s="15" t="s">
        <v>46</v>
      </c>
      <c r="D31" s="12" t="s">
        <v>98</v>
      </c>
      <c r="E31" s="9" t="s">
        <v>188</v>
      </c>
      <c r="F31" s="10" t="s">
        <v>189</v>
      </c>
      <c r="G31" s="13" t="s">
        <v>190</v>
      </c>
      <c r="H31" s="19" t="s">
        <v>101</v>
      </c>
      <c r="I31" s="17" t="s">
        <v>52</v>
      </c>
      <c r="J31" s="11">
        <v>46291</v>
      </c>
      <c r="K31" s="11">
        <v>46295</v>
      </c>
      <c r="L31" s="12" t="s">
        <v>177</v>
      </c>
      <c r="M31" s="12" t="s">
        <v>54</v>
      </c>
      <c r="N31" s="13" t="s">
        <v>191</v>
      </c>
    </row>
    <row r="32" spans="1:14" ht="44.1" customHeight="1" x14ac:dyDescent="0.25">
      <c r="A32" s="4" t="s">
        <v>192</v>
      </c>
      <c r="B32" s="7" t="s">
        <v>14</v>
      </c>
      <c r="C32" s="15" t="s">
        <v>46</v>
      </c>
      <c r="D32" s="7" t="s">
        <v>98</v>
      </c>
      <c r="E32" s="4" t="s">
        <v>183</v>
      </c>
      <c r="F32" s="5" t="s">
        <v>193</v>
      </c>
      <c r="G32" s="8" t="s">
        <v>194</v>
      </c>
      <c r="H32" s="19" t="s">
        <v>101</v>
      </c>
      <c r="I32" s="17" t="s">
        <v>52</v>
      </c>
      <c r="J32" s="6">
        <v>46295</v>
      </c>
      <c r="K32" s="6">
        <v>46299</v>
      </c>
      <c r="L32" s="7" t="s">
        <v>182</v>
      </c>
      <c r="M32" s="7" t="s">
        <v>54</v>
      </c>
      <c r="N32" s="8" t="s">
        <v>195</v>
      </c>
    </row>
    <row r="33" spans="1:14" ht="44.1" customHeight="1" x14ac:dyDescent="0.25">
      <c r="A33" s="9" t="s">
        <v>196</v>
      </c>
      <c r="B33" s="12" t="s">
        <v>14</v>
      </c>
      <c r="C33" s="15" t="s">
        <v>46</v>
      </c>
      <c r="D33" s="12" t="s">
        <v>117</v>
      </c>
      <c r="E33" s="9" t="s">
        <v>48</v>
      </c>
      <c r="F33" s="10" t="s">
        <v>197</v>
      </c>
      <c r="G33" s="13" t="s">
        <v>198</v>
      </c>
      <c r="H33" s="16" t="s">
        <v>51</v>
      </c>
      <c r="I33" s="17" t="s">
        <v>52</v>
      </c>
      <c r="J33" s="11">
        <v>46280</v>
      </c>
      <c r="K33" s="11">
        <v>46284</v>
      </c>
      <c r="L33" s="12" t="s">
        <v>88</v>
      </c>
      <c r="M33" s="12" t="s">
        <v>54</v>
      </c>
      <c r="N33" s="13" t="s">
        <v>199</v>
      </c>
    </row>
    <row r="34" spans="1:14" ht="44.1" customHeight="1" x14ac:dyDescent="0.25">
      <c r="A34" s="4" t="s">
        <v>200</v>
      </c>
      <c r="B34" s="7" t="s">
        <v>14</v>
      </c>
      <c r="C34" s="15" t="s">
        <v>46</v>
      </c>
      <c r="D34" s="7" t="s">
        <v>117</v>
      </c>
      <c r="E34" s="4" t="s">
        <v>48</v>
      </c>
      <c r="F34" s="5" t="s">
        <v>201</v>
      </c>
      <c r="G34" s="8" t="s">
        <v>202</v>
      </c>
      <c r="H34" s="16" t="s">
        <v>51</v>
      </c>
      <c r="I34" s="17" t="s">
        <v>52</v>
      </c>
      <c r="J34" s="6">
        <v>46284</v>
      </c>
      <c r="K34" s="6">
        <v>46288</v>
      </c>
      <c r="L34" s="7" t="s">
        <v>196</v>
      </c>
      <c r="M34" s="7" t="s">
        <v>54</v>
      </c>
      <c r="N34" s="8" t="s">
        <v>203</v>
      </c>
    </row>
    <row r="35" spans="1:14" ht="44.1" customHeight="1" x14ac:dyDescent="0.25">
      <c r="A35" s="9" t="s">
        <v>204</v>
      </c>
      <c r="B35" s="12" t="s">
        <v>14</v>
      </c>
      <c r="C35" s="15" t="s">
        <v>46</v>
      </c>
      <c r="D35" s="12" t="s">
        <v>117</v>
      </c>
      <c r="E35" s="9" t="s">
        <v>48</v>
      </c>
      <c r="F35" s="10" t="s">
        <v>205</v>
      </c>
      <c r="G35" s="13" t="s">
        <v>206</v>
      </c>
      <c r="H35" s="16" t="s">
        <v>51</v>
      </c>
      <c r="I35" s="17" t="s">
        <v>52</v>
      </c>
      <c r="J35" s="11">
        <v>46288</v>
      </c>
      <c r="K35" s="11">
        <v>46291</v>
      </c>
      <c r="L35" s="12" t="s">
        <v>200</v>
      </c>
      <c r="M35" s="12" t="s">
        <v>54</v>
      </c>
      <c r="N35" s="13" t="s">
        <v>207</v>
      </c>
    </row>
    <row r="36" spans="1:14" ht="44.1" customHeight="1" x14ac:dyDescent="0.25">
      <c r="A36" s="4" t="s">
        <v>208</v>
      </c>
      <c r="B36" s="7" t="s">
        <v>14</v>
      </c>
      <c r="C36" s="15" t="s">
        <v>46</v>
      </c>
      <c r="D36" s="7" t="s">
        <v>117</v>
      </c>
      <c r="E36" s="4" t="s">
        <v>209</v>
      </c>
      <c r="F36" s="5" t="s">
        <v>210</v>
      </c>
      <c r="G36" s="8" t="s">
        <v>211</v>
      </c>
      <c r="H36" s="16" t="s">
        <v>51</v>
      </c>
      <c r="I36" s="23" t="s">
        <v>212</v>
      </c>
      <c r="J36" s="6">
        <v>46291</v>
      </c>
      <c r="K36" s="6">
        <v>46295</v>
      </c>
      <c r="L36" s="7" t="s">
        <v>182</v>
      </c>
      <c r="M36" s="7" t="s">
        <v>54</v>
      </c>
      <c r="N36" s="8" t="s">
        <v>213</v>
      </c>
    </row>
    <row r="37" spans="1:14" ht="44.1" customHeight="1" x14ac:dyDescent="0.25">
      <c r="A37" s="9" t="s">
        <v>214</v>
      </c>
      <c r="B37" s="12" t="s">
        <v>14</v>
      </c>
      <c r="C37" s="15" t="s">
        <v>46</v>
      </c>
      <c r="D37" s="12" t="s">
        <v>117</v>
      </c>
      <c r="E37" s="9" t="s">
        <v>215</v>
      </c>
      <c r="F37" s="10" t="s">
        <v>216</v>
      </c>
      <c r="G37" s="13" t="s">
        <v>217</v>
      </c>
      <c r="H37" s="16" t="s">
        <v>51</v>
      </c>
      <c r="I37" s="20" t="s">
        <v>120</v>
      </c>
      <c r="J37" s="11">
        <v>46295</v>
      </c>
      <c r="K37" s="11">
        <v>46299</v>
      </c>
      <c r="L37" s="12" t="s">
        <v>182</v>
      </c>
      <c r="M37" s="12" t="s">
        <v>54</v>
      </c>
      <c r="N37" s="13" t="s">
        <v>218</v>
      </c>
    </row>
    <row r="38" spans="1:14" ht="44.1" customHeight="1" x14ac:dyDescent="0.25">
      <c r="A38" s="4" t="s">
        <v>219</v>
      </c>
      <c r="B38" s="7" t="s">
        <v>14</v>
      </c>
      <c r="C38" s="18" t="s">
        <v>97</v>
      </c>
      <c r="D38" s="7" t="s">
        <v>47</v>
      </c>
      <c r="E38" s="4" t="s">
        <v>220</v>
      </c>
      <c r="F38" s="5" t="s">
        <v>221</v>
      </c>
      <c r="G38" s="8" t="s">
        <v>222</v>
      </c>
      <c r="H38" s="16" t="s">
        <v>51</v>
      </c>
      <c r="I38" s="17" t="s">
        <v>52</v>
      </c>
      <c r="J38" s="6">
        <v>46280</v>
      </c>
      <c r="K38" s="6">
        <v>46285</v>
      </c>
      <c r="L38" s="7" t="s">
        <v>88</v>
      </c>
      <c r="M38" s="7" t="s">
        <v>54</v>
      </c>
      <c r="N38" s="8" t="s">
        <v>223</v>
      </c>
    </row>
    <row r="39" spans="1:14" ht="44.1" customHeight="1" x14ac:dyDescent="0.25">
      <c r="A39" s="9" t="s">
        <v>224</v>
      </c>
      <c r="B39" s="12" t="s">
        <v>14</v>
      </c>
      <c r="C39" s="18" t="s">
        <v>97</v>
      </c>
      <c r="D39" s="12" t="s">
        <v>47</v>
      </c>
      <c r="E39" s="9" t="s">
        <v>225</v>
      </c>
      <c r="F39" s="10" t="s">
        <v>226</v>
      </c>
      <c r="G39" s="13" t="s">
        <v>227</v>
      </c>
      <c r="H39" s="16" t="s">
        <v>51</v>
      </c>
      <c r="I39" s="17" t="s">
        <v>52</v>
      </c>
      <c r="J39" s="11">
        <v>46285</v>
      </c>
      <c r="K39" s="11">
        <v>46290</v>
      </c>
      <c r="L39" s="12" t="s">
        <v>219</v>
      </c>
      <c r="M39" s="12" t="s">
        <v>54</v>
      </c>
      <c r="N39" s="13" t="s">
        <v>228</v>
      </c>
    </row>
    <row r="40" spans="1:14" ht="44.1" customHeight="1" x14ac:dyDescent="0.25">
      <c r="A40" s="4" t="s">
        <v>229</v>
      </c>
      <c r="B40" s="7" t="s">
        <v>14</v>
      </c>
      <c r="C40" s="18" t="s">
        <v>97</v>
      </c>
      <c r="D40" s="7" t="s">
        <v>137</v>
      </c>
      <c r="E40" s="4" t="s">
        <v>230</v>
      </c>
      <c r="F40" s="5" t="s">
        <v>231</v>
      </c>
      <c r="G40" s="8" t="s">
        <v>232</v>
      </c>
      <c r="H40" s="16" t="s">
        <v>51</v>
      </c>
      <c r="I40" s="17" t="s">
        <v>52</v>
      </c>
      <c r="J40" s="6">
        <v>46280</v>
      </c>
      <c r="K40" s="6">
        <v>46284</v>
      </c>
      <c r="L40" s="7" t="s">
        <v>219</v>
      </c>
      <c r="M40" s="7" t="s">
        <v>54</v>
      </c>
      <c r="N40" s="8" t="s">
        <v>233</v>
      </c>
    </row>
    <row r="41" spans="1:14" ht="44.1" customHeight="1" x14ac:dyDescent="0.25">
      <c r="A41" s="9" t="s">
        <v>234</v>
      </c>
      <c r="B41" s="12" t="s">
        <v>14</v>
      </c>
      <c r="C41" s="18" t="s">
        <v>97</v>
      </c>
      <c r="D41" s="12" t="s">
        <v>137</v>
      </c>
      <c r="E41" s="9" t="s">
        <v>235</v>
      </c>
      <c r="F41" s="10" t="s">
        <v>236</v>
      </c>
      <c r="G41" s="13" t="s">
        <v>237</v>
      </c>
      <c r="H41" s="16" t="s">
        <v>51</v>
      </c>
      <c r="I41" s="23" t="s">
        <v>212</v>
      </c>
      <c r="J41" s="11">
        <v>46284</v>
      </c>
      <c r="K41" s="11">
        <v>46288</v>
      </c>
      <c r="L41" s="12" t="s">
        <v>229</v>
      </c>
      <c r="M41" s="12" t="s">
        <v>54</v>
      </c>
      <c r="N41" s="13" t="s">
        <v>238</v>
      </c>
    </row>
    <row r="42" spans="1:14" ht="44.1" customHeight="1" x14ac:dyDescent="0.25">
      <c r="A42" s="4" t="s">
        <v>239</v>
      </c>
      <c r="B42" s="7" t="s">
        <v>14</v>
      </c>
      <c r="C42" s="18" t="s">
        <v>97</v>
      </c>
      <c r="D42" s="7" t="s">
        <v>47</v>
      </c>
      <c r="E42" s="4" t="s">
        <v>240</v>
      </c>
      <c r="F42" s="5" t="s">
        <v>241</v>
      </c>
      <c r="G42" s="8" t="s">
        <v>242</v>
      </c>
      <c r="H42" s="19" t="s">
        <v>101</v>
      </c>
      <c r="I42" s="17" t="s">
        <v>52</v>
      </c>
      <c r="J42" s="6">
        <v>46290</v>
      </c>
      <c r="K42" s="6">
        <v>46294</v>
      </c>
      <c r="L42" s="7" t="s">
        <v>224</v>
      </c>
      <c r="M42" s="7" t="s">
        <v>54</v>
      </c>
      <c r="N42" s="8" t="s">
        <v>243</v>
      </c>
    </row>
    <row r="43" spans="1:14" ht="44.1" customHeight="1" x14ac:dyDescent="0.25">
      <c r="A43" s="9" t="s">
        <v>244</v>
      </c>
      <c r="B43" s="12" t="s">
        <v>14</v>
      </c>
      <c r="C43" s="18" t="s">
        <v>97</v>
      </c>
      <c r="D43" s="12" t="s">
        <v>137</v>
      </c>
      <c r="E43" s="9" t="s">
        <v>230</v>
      </c>
      <c r="F43" s="10" t="s">
        <v>245</v>
      </c>
      <c r="G43" s="13" t="s">
        <v>246</v>
      </c>
      <c r="H43" s="19" t="s">
        <v>101</v>
      </c>
      <c r="I43" s="17" t="s">
        <v>52</v>
      </c>
      <c r="J43" s="11">
        <v>46288</v>
      </c>
      <c r="K43" s="11">
        <v>46291</v>
      </c>
      <c r="L43" s="12" t="s">
        <v>229</v>
      </c>
      <c r="M43" s="12" t="s">
        <v>54</v>
      </c>
      <c r="N43" s="13" t="s">
        <v>247</v>
      </c>
    </row>
    <row r="44" spans="1:14" ht="44.1" customHeight="1" x14ac:dyDescent="0.25">
      <c r="A44" s="4" t="s">
        <v>248</v>
      </c>
      <c r="B44" s="7" t="s">
        <v>14</v>
      </c>
      <c r="C44" s="18" t="s">
        <v>97</v>
      </c>
      <c r="D44" s="7" t="s">
        <v>137</v>
      </c>
      <c r="E44" s="4" t="s">
        <v>235</v>
      </c>
      <c r="F44" s="5" t="s">
        <v>249</v>
      </c>
      <c r="G44" s="8" t="s">
        <v>250</v>
      </c>
      <c r="H44" s="19" t="s">
        <v>101</v>
      </c>
      <c r="I44" s="23" t="s">
        <v>212</v>
      </c>
      <c r="J44" s="6">
        <v>46291</v>
      </c>
      <c r="K44" s="6">
        <v>46295</v>
      </c>
      <c r="L44" s="7" t="s">
        <v>234</v>
      </c>
      <c r="M44" s="7" t="s">
        <v>54</v>
      </c>
      <c r="N44" s="8" t="s">
        <v>251</v>
      </c>
    </row>
    <row r="45" spans="1:14" ht="44.1" customHeight="1" x14ac:dyDescent="0.25">
      <c r="A45" s="9" t="s">
        <v>252</v>
      </c>
      <c r="B45" s="12" t="s">
        <v>14</v>
      </c>
      <c r="C45" s="18" t="s">
        <v>97</v>
      </c>
      <c r="D45" s="12" t="s">
        <v>47</v>
      </c>
      <c r="E45" s="9" t="s">
        <v>220</v>
      </c>
      <c r="F45" s="10" t="s">
        <v>253</v>
      </c>
      <c r="G45" s="13" t="s">
        <v>254</v>
      </c>
      <c r="H45" s="22" t="s">
        <v>140</v>
      </c>
      <c r="I45" s="20" t="s">
        <v>120</v>
      </c>
      <c r="J45" s="11">
        <v>46294</v>
      </c>
      <c r="K45" s="11">
        <v>46299</v>
      </c>
      <c r="L45" s="12" t="s">
        <v>219</v>
      </c>
      <c r="M45" s="12" t="s">
        <v>54</v>
      </c>
      <c r="N45" s="13" t="s">
        <v>255</v>
      </c>
    </row>
    <row r="46" spans="1:14" ht="44.1" customHeight="1" x14ac:dyDescent="0.25">
      <c r="A46" s="4" t="s">
        <v>256</v>
      </c>
      <c r="B46" s="7" t="s">
        <v>14</v>
      </c>
      <c r="C46" s="18" t="s">
        <v>97</v>
      </c>
      <c r="D46" s="7" t="s">
        <v>137</v>
      </c>
      <c r="E46" s="4" t="s">
        <v>230</v>
      </c>
      <c r="F46" s="5" t="s">
        <v>257</v>
      </c>
      <c r="G46" s="8" t="s">
        <v>258</v>
      </c>
      <c r="H46" s="22" t="s">
        <v>140</v>
      </c>
      <c r="I46" s="20" t="s">
        <v>120</v>
      </c>
      <c r="J46" s="6">
        <v>46295</v>
      </c>
      <c r="K46" s="6">
        <v>46299</v>
      </c>
      <c r="L46" s="7" t="s">
        <v>229</v>
      </c>
      <c r="M46" s="7" t="s">
        <v>54</v>
      </c>
      <c r="N46" s="8" t="s">
        <v>259</v>
      </c>
    </row>
    <row r="47" spans="1:14" ht="44.1" customHeight="1" x14ac:dyDescent="0.25">
      <c r="A47" s="9" t="s">
        <v>260</v>
      </c>
      <c r="B47" s="12" t="s">
        <v>14</v>
      </c>
      <c r="C47" s="21" t="s">
        <v>136</v>
      </c>
      <c r="D47" s="12" t="s">
        <v>76</v>
      </c>
      <c r="E47" s="9" t="s">
        <v>261</v>
      </c>
      <c r="F47" s="10" t="s">
        <v>262</v>
      </c>
      <c r="G47" s="13" t="s">
        <v>263</v>
      </c>
      <c r="H47" s="16" t="s">
        <v>51</v>
      </c>
      <c r="I47" s="20" t="s">
        <v>120</v>
      </c>
      <c r="J47" s="11">
        <v>46280</v>
      </c>
      <c r="K47" s="11">
        <v>46284</v>
      </c>
      <c r="L47" s="12" t="s">
        <v>88</v>
      </c>
      <c r="M47" s="12" t="s">
        <v>54</v>
      </c>
      <c r="N47" s="13" t="s">
        <v>264</v>
      </c>
    </row>
    <row r="48" spans="1:14" ht="44.1" customHeight="1" x14ac:dyDescent="0.25">
      <c r="A48" s="4" t="s">
        <v>265</v>
      </c>
      <c r="B48" s="7" t="s">
        <v>14</v>
      </c>
      <c r="C48" s="21" t="s">
        <v>136</v>
      </c>
      <c r="D48" s="7" t="s">
        <v>76</v>
      </c>
      <c r="E48" s="4" t="s">
        <v>266</v>
      </c>
      <c r="F48" s="5" t="s">
        <v>267</v>
      </c>
      <c r="G48" s="8" t="s">
        <v>268</v>
      </c>
      <c r="H48" s="16" t="s">
        <v>51</v>
      </c>
      <c r="I48" s="17" t="s">
        <v>52</v>
      </c>
      <c r="J48" s="6">
        <v>46284</v>
      </c>
      <c r="K48" s="6">
        <v>46288</v>
      </c>
      <c r="L48" s="7" t="s">
        <v>260</v>
      </c>
      <c r="M48" s="7" t="s">
        <v>54</v>
      </c>
      <c r="N48" s="8" t="s">
        <v>269</v>
      </c>
    </row>
    <row r="49" spans="1:14" ht="44.1" customHeight="1" x14ac:dyDescent="0.25">
      <c r="A49" s="9" t="s">
        <v>270</v>
      </c>
      <c r="B49" s="12" t="s">
        <v>14</v>
      </c>
      <c r="C49" s="21" t="s">
        <v>136</v>
      </c>
      <c r="D49" s="12" t="s">
        <v>156</v>
      </c>
      <c r="E49" s="9" t="s">
        <v>271</v>
      </c>
      <c r="F49" s="10" t="s">
        <v>272</v>
      </c>
      <c r="G49" s="13" t="s">
        <v>273</v>
      </c>
      <c r="H49" s="16" t="s">
        <v>51</v>
      </c>
      <c r="I49" s="17" t="s">
        <v>52</v>
      </c>
      <c r="J49" s="11">
        <v>46280</v>
      </c>
      <c r="K49" s="11">
        <v>46285</v>
      </c>
      <c r="L49" s="12" t="s">
        <v>265</v>
      </c>
      <c r="M49" s="12" t="s">
        <v>54</v>
      </c>
      <c r="N49" s="13" t="s">
        <v>274</v>
      </c>
    </row>
    <row r="50" spans="1:14" ht="44.1" customHeight="1" x14ac:dyDescent="0.25">
      <c r="A50" s="4" t="s">
        <v>275</v>
      </c>
      <c r="B50" s="7" t="s">
        <v>14</v>
      </c>
      <c r="C50" s="21" t="s">
        <v>136</v>
      </c>
      <c r="D50" s="7" t="s">
        <v>76</v>
      </c>
      <c r="E50" s="4" t="s">
        <v>276</v>
      </c>
      <c r="F50" s="5" t="s">
        <v>277</v>
      </c>
      <c r="G50" s="8" t="s">
        <v>278</v>
      </c>
      <c r="H50" s="19" t="s">
        <v>101</v>
      </c>
      <c r="I50" s="17" t="s">
        <v>52</v>
      </c>
      <c r="J50" s="6">
        <v>46288</v>
      </c>
      <c r="K50" s="6">
        <v>46291</v>
      </c>
      <c r="L50" s="7" t="s">
        <v>265</v>
      </c>
      <c r="M50" s="7" t="s">
        <v>54</v>
      </c>
      <c r="N50" s="8" t="s">
        <v>279</v>
      </c>
    </row>
    <row r="51" spans="1:14" ht="44.1" customHeight="1" x14ac:dyDescent="0.25">
      <c r="A51" s="9" t="s">
        <v>280</v>
      </c>
      <c r="B51" s="12" t="s">
        <v>14</v>
      </c>
      <c r="C51" s="21" t="s">
        <v>136</v>
      </c>
      <c r="D51" s="12" t="s">
        <v>76</v>
      </c>
      <c r="E51" s="9" t="s">
        <v>281</v>
      </c>
      <c r="F51" s="10" t="s">
        <v>282</v>
      </c>
      <c r="G51" s="13" t="s">
        <v>283</v>
      </c>
      <c r="H51" s="19" t="s">
        <v>101</v>
      </c>
      <c r="I51" s="17" t="s">
        <v>52</v>
      </c>
      <c r="J51" s="11">
        <v>46291</v>
      </c>
      <c r="K51" s="11">
        <v>46295</v>
      </c>
      <c r="L51" s="12" t="s">
        <v>265</v>
      </c>
      <c r="M51" s="12" t="s">
        <v>54</v>
      </c>
      <c r="N51" s="13" t="s">
        <v>284</v>
      </c>
    </row>
    <row r="52" spans="1:14" ht="44.1" customHeight="1" x14ac:dyDescent="0.25">
      <c r="A52" s="4" t="s">
        <v>285</v>
      </c>
      <c r="B52" s="7" t="s">
        <v>14</v>
      </c>
      <c r="C52" s="21" t="s">
        <v>136</v>
      </c>
      <c r="D52" s="7" t="s">
        <v>156</v>
      </c>
      <c r="E52" s="4" t="s">
        <v>271</v>
      </c>
      <c r="F52" s="5" t="s">
        <v>286</v>
      </c>
      <c r="G52" s="8" t="s">
        <v>287</v>
      </c>
      <c r="H52" s="19" t="s">
        <v>101</v>
      </c>
      <c r="I52" s="17" t="s">
        <v>52</v>
      </c>
      <c r="J52" s="6">
        <v>46285</v>
      </c>
      <c r="K52" s="6">
        <v>46290</v>
      </c>
      <c r="L52" s="7" t="s">
        <v>270</v>
      </c>
      <c r="M52" s="7" t="s">
        <v>54</v>
      </c>
      <c r="N52" s="8" t="s">
        <v>288</v>
      </c>
    </row>
    <row r="53" spans="1:14" ht="44.1" customHeight="1" x14ac:dyDescent="0.25">
      <c r="A53" s="9" t="s">
        <v>289</v>
      </c>
      <c r="B53" s="12" t="s">
        <v>14</v>
      </c>
      <c r="C53" s="21" t="s">
        <v>136</v>
      </c>
      <c r="D53" s="12" t="s">
        <v>156</v>
      </c>
      <c r="E53" s="9" t="s">
        <v>281</v>
      </c>
      <c r="F53" s="10" t="s">
        <v>290</v>
      </c>
      <c r="G53" s="13" t="s">
        <v>291</v>
      </c>
      <c r="H53" s="22" t="s">
        <v>140</v>
      </c>
      <c r="I53" s="17" t="s">
        <v>52</v>
      </c>
      <c r="J53" s="11">
        <v>46290</v>
      </c>
      <c r="K53" s="11">
        <v>46294</v>
      </c>
      <c r="L53" s="12" t="s">
        <v>265</v>
      </c>
      <c r="M53" s="12" t="s">
        <v>54</v>
      </c>
      <c r="N53" s="13" t="s">
        <v>292</v>
      </c>
    </row>
    <row r="54" spans="1:14" ht="44.1" customHeight="1" x14ac:dyDescent="0.25">
      <c r="A54" s="4" t="s">
        <v>293</v>
      </c>
      <c r="B54" s="7" t="s">
        <v>14</v>
      </c>
      <c r="C54" s="21" t="s">
        <v>136</v>
      </c>
      <c r="D54" s="7" t="s">
        <v>156</v>
      </c>
      <c r="E54" s="4" t="s">
        <v>271</v>
      </c>
      <c r="F54" s="5" t="s">
        <v>294</v>
      </c>
      <c r="G54" s="8" t="s">
        <v>295</v>
      </c>
      <c r="H54" s="22" t="s">
        <v>140</v>
      </c>
      <c r="I54" s="20" t="s">
        <v>120</v>
      </c>
      <c r="J54" s="6">
        <v>46294</v>
      </c>
      <c r="K54" s="6">
        <v>46299</v>
      </c>
      <c r="L54" s="7" t="s">
        <v>270</v>
      </c>
      <c r="M54" s="7" t="s">
        <v>54</v>
      </c>
      <c r="N54" s="8" t="s">
        <v>296</v>
      </c>
    </row>
    <row r="55" spans="1:14" ht="44.1" customHeight="1" x14ac:dyDescent="0.25">
      <c r="A55" s="9" t="s">
        <v>297</v>
      </c>
      <c r="B55" s="12" t="s">
        <v>14</v>
      </c>
      <c r="C55" s="21" t="s">
        <v>136</v>
      </c>
      <c r="D55" s="12" t="s">
        <v>76</v>
      </c>
      <c r="E55" s="9" t="s">
        <v>281</v>
      </c>
      <c r="F55" s="10" t="s">
        <v>298</v>
      </c>
      <c r="G55" s="13" t="s">
        <v>299</v>
      </c>
      <c r="H55" s="22" t="s">
        <v>140</v>
      </c>
      <c r="I55" s="17" t="s">
        <v>52</v>
      </c>
      <c r="J55" s="11">
        <v>46295</v>
      </c>
      <c r="K55" s="11">
        <v>46299</v>
      </c>
      <c r="L55" s="12" t="s">
        <v>160</v>
      </c>
      <c r="M55" s="12" t="s">
        <v>54</v>
      </c>
      <c r="N55" s="13" t="s">
        <v>300</v>
      </c>
    </row>
    <row r="56" spans="1:14" ht="44.1" customHeight="1" x14ac:dyDescent="0.25">
      <c r="A56" s="4" t="s">
        <v>301</v>
      </c>
      <c r="B56" s="7" t="s">
        <v>19</v>
      </c>
      <c r="C56" s="15" t="s">
        <v>46</v>
      </c>
      <c r="D56" s="7" t="s">
        <v>137</v>
      </c>
      <c r="E56" s="4" t="s">
        <v>302</v>
      </c>
      <c r="F56" s="5" t="s">
        <v>303</v>
      </c>
      <c r="G56" s="8" t="s">
        <v>304</v>
      </c>
      <c r="H56" s="16" t="s">
        <v>51</v>
      </c>
      <c r="I56" s="17" t="s">
        <v>52</v>
      </c>
      <c r="J56" s="6">
        <v>46300</v>
      </c>
      <c r="K56" s="6">
        <v>46304</v>
      </c>
      <c r="L56" s="7" t="s">
        <v>204</v>
      </c>
      <c r="M56" s="7" t="s">
        <v>54</v>
      </c>
      <c r="N56" s="8" t="s">
        <v>305</v>
      </c>
    </row>
    <row r="57" spans="1:14" ht="44.1" customHeight="1" x14ac:dyDescent="0.25">
      <c r="A57" s="9" t="s">
        <v>306</v>
      </c>
      <c r="B57" s="12" t="s">
        <v>19</v>
      </c>
      <c r="C57" s="15" t="s">
        <v>46</v>
      </c>
      <c r="D57" s="12" t="s">
        <v>137</v>
      </c>
      <c r="E57" s="9" t="s">
        <v>307</v>
      </c>
      <c r="F57" s="10" t="s">
        <v>308</v>
      </c>
      <c r="G57" s="13" t="s">
        <v>309</v>
      </c>
      <c r="H57" s="16" t="s">
        <v>51</v>
      </c>
      <c r="I57" s="17" t="s">
        <v>52</v>
      </c>
      <c r="J57" s="11">
        <v>46304</v>
      </c>
      <c r="K57" s="11">
        <v>46308</v>
      </c>
      <c r="L57" s="12" t="s">
        <v>301</v>
      </c>
      <c r="M57" s="12" t="s">
        <v>54</v>
      </c>
      <c r="N57" s="13" t="s">
        <v>310</v>
      </c>
    </row>
    <row r="58" spans="1:14" ht="44.1" customHeight="1" x14ac:dyDescent="0.25">
      <c r="A58" s="4" t="s">
        <v>311</v>
      </c>
      <c r="B58" s="7" t="s">
        <v>19</v>
      </c>
      <c r="C58" s="15" t="s">
        <v>46</v>
      </c>
      <c r="D58" s="7" t="s">
        <v>137</v>
      </c>
      <c r="E58" s="4" t="s">
        <v>312</v>
      </c>
      <c r="F58" s="5" t="s">
        <v>313</v>
      </c>
      <c r="G58" s="8" t="s">
        <v>314</v>
      </c>
      <c r="H58" s="16" t="s">
        <v>51</v>
      </c>
      <c r="I58" s="17" t="s">
        <v>52</v>
      </c>
      <c r="J58" s="6">
        <v>46308</v>
      </c>
      <c r="K58" s="6">
        <v>46311</v>
      </c>
      <c r="L58" s="7" t="s">
        <v>182</v>
      </c>
      <c r="M58" s="7" t="s">
        <v>54</v>
      </c>
      <c r="N58" s="8" t="s">
        <v>315</v>
      </c>
    </row>
    <row r="59" spans="1:14" ht="44.1" customHeight="1" x14ac:dyDescent="0.25">
      <c r="A59" s="9" t="s">
        <v>316</v>
      </c>
      <c r="B59" s="12" t="s">
        <v>19</v>
      </c>
      <c r="C59" s="15" t="s">
        <v>46</v>
      </c>
      <c r="D59" s="12" t="s">
        <v>137</v>
      </c>
      <c r="E59" s="9" t="s">
        <v>312</v>
      </c>
      <c r="F59" s="10" t="s">
        <v>317</v>
      </c>
      <c r="G59" s="13" t="s">
        <v>318</v>
      </c>
      <c r="H59" s="16" t="s">
        <v>51</v>
      </c>
      <c r="I59" s="17" t="s">
        <v>52</v>
      </c>
      <c r="J59" s="11">
        <v>46311</v>
      </c>
      <c r="K59" s="11">
        <v>46315</v>
      </c>
      <c r="L59" s="12" t="s">
        <v>311</v>
      </c>
      <c r="M59" s="12" t="s">
        <v>54</v>
      </c>
      <c r="N59" s="13" t="s">
        <v>319</v>
      </c>
    </row>
    <row r="60" spans="1:14" ht="44.1" customHeight="1" x14ac:dyDescent="0.25">
      <c r="A60" s="4" t="s">
        <v>320</v>
      </c>
      <c r="B60" s="7" t="s">
        <v>19</v>
      </c>
      <c r="C60" s="15" t="s">
        <v>46</v>
      </c>
      <c r="D60" s="7" t="s">
        <v>137</v>
      </c>
      <c r="E60" s="4" t="s">
        <v>321</v>
      </c>
      <c r="F60" s="5" t="s">
        <v>322</v>
      </c>
      <c r="G60" s="8" t="s">
        <v>323</v>
      </c>
      <c r="H60" s="16" t="s">
        <v>51</v>
      </c>
      <c r="I60" s="20" t="s">
        <v>120</v>
      </c>
      <c r="J60" s="6">
        <v>46315</v>
      </c>
      <c r="K60" s="6">
        <v>46319</v>
      </c>
      <c r="L60" s="7" t="s">
        <v>301</v>
      </c>
      <c r="M60" s="7" t="s">
        <v>54</v>
      </c>
      <c r="N60" s="8" t="s">
        <v>324</v>
      </c>
    </row>
    <row r="61" spans="1:14" ht="44.1" customHeight="1" x14ac:dyDescent="0.25">
      <c r="A61" s="9" t="s">
        <v>325</v>
      </c>
      <c r="B61" s="12" t="s">
        <v>19</v>
      </c>
      <c r="C61" s="15" t="s">
        <v>46</v>
      </c>
      <c r="D61" s="12" t="s">
        <v>156</v>
      </c>
      <c r="E61" s="9" t="s">
        <v>326</v>
      </c>
      <c r="F61" s="10" t="s">
        <v>327</v>
      </c>
      <c r="G61" s="13" t="s">
        <v>328</v>
      </c>
      <c r="H61" s="16" t="s">
        <v>51</v>
      </c>
      <c r="I61" s="17" t="s">
        <v>52</v>
      </c>
      <c r="J61" s="11">
        <v>46300</v>
      </c>
      <c r="K61" s="11">
        <v>46304</v>
      </c>
      <c r="L61" s="12" t="s">
        <v>265</v>
      </c>
      <c r="M61" s="12" t="s">
        <v>54</v>
      </c>
      <c r="N61" s="13" t="s">
        <v>329</v>
      </c>
    </row>
    <row r="62" spans="1:14" ht="44.1" customHeight="1" x14ac:dyDescent="0.25">
      <c r="A62" s="4" t="s">
        <v>330</v>
      </c>
      <c r="B62" s="7" t="s">
        <v>19</v>
      </c>
      <c r="C62" s="15" t="s">
        <v>46</v>
      </c>
      <c r="D62" s="7" t="s">
        <v>156</v>
      </c>
      <c r="E62" s="4" t="s">
        <v>331</v>
      </c>
      <c r="F62" s="5" t="s">
        <v>332</v>
      </c>
      <c r="G62" s="8" t="s">
        <v>333</v>
      </c>
      <c r="H62" s="16" t="s">
        <v>51</v>
      </c>
      <c r="I62" s="17" t="s">
        <v>52</v>
      </c>
      <c r="J62" s="6">
        <v>46304</v>
      </c>
      <c r="K62" s="6">
        <v>46308</v>
      </c>
      <c r="L62" s="7" t="s">
        <v>325</v>
      </c>
      <c r="M62" s="7" t="s">
        <v>54</v>
      </c>
      <c r="N62" s="8" t="s">
        <v>334</v>
      </c>
    </row>
    <row r="63" spans="1:14" ht="44.1" customHeight="1" x14ac:dyDescent="0.25">
      <c r="A63" s="9" t="s">
        <v>335</v>
      </c>
      <c r="B63" s="12" t="s">
        <v>19</v>
      </c>
      <c r="C63" s="15" t="s">
        <v>46</v>
      </c>
      <c r="D63" s="12" t="s">
        <v>156</v>
      </c>
      <c r="E63" s="9" t="s">
        <v>336</v>
      </c>
      <c r="F63" s="10" t="s">
        <v>337</v>
      </c>
      <c r="G63" s="13" t="s">
        <v>338</v>
      </c>
      <c r="H63" s="19" t="s">
        <v>101</v>
      </c>
      <c r="I63" s="17" t="s">
        <v>52</v>
      </c>
      <c r="J63" s="11">
        <v>46308</v>
      </c>
      <c r="K63" s="11">
        <v>46311</v>
      </c>
      <c r="L63" s="12" t="s">
        <v>330</v>
      </c>
      <c r="M63" s="12" t="s">
        <v>54</v>
      </c>
      <c r="N63" s="13" t="s">
        <v>339</v>
      </c>
    </row>
    <row r="64" spans="1:14" ht="44.1" customHeight="1" x14ac:dyDescent="0.25">
      <c r="A64" s="4" t="s">
        <v>340</v>
      </c>
      <c r="B64" s="7" t="s">
        <v>19</v>
      </c>
      <c r="C64" s="15" t="s">
        <v>46</v>
      </c>
      <c r="D64" s="7" t="s">
        <v>156</v>
      </c>
      <c r="E64" s="4" t="s">
        <v>321</v>
      </c>
      <c r="F64" s="5" t="s">
        <v>341</v>
      </c>
      <c r="G64" s="8" t="s">
        <v>342</v>
      </c>
      <c r="H64" s="19" t="s">
        <v>101</v>
      </c>
      <c r="I64" s="20" t="s">
        <v>120</v>
      </c>
      <c r="J64" s="6">
        <v>46311</v>
      </c>
      <c r="K64" s="6">
        <v>46315</v>
      </c>
      <c r="L64" s="7" t="s">
        <v>320</v>
      </c>
      <c r="M64" s="7" t="s">
        <v>54</v>
      </c>
      <c r="N64" s="8" t="s">
        <v>343</v>
      </c>
    </row>
    <row r="65" spans="1:14" ht="44.1" customHeight="1" x14ac:dyDescent="0.25">
      <c r="A65" s="9" t="s">
        <v>344</v>
      </c>
      <c r="B65" s="12" t="s">
        <v>19</v>
      </c>
      <c r="C65" s="15" t="s">
        <v>46</v>
      </c>
      <c r="D65" s="12" t="s">
        <v>156</v>
      </c>
      <c r="E65" s="9" t="s">
        <v>48</v>
      </c>
      <c r="F65" s="10" t="s">
        <v>345</v>
      </c>
      <c r="G65" s="13" t="s">
        <v>346</v>
      </c>
      <c r="H65" s="16" t="s">
        <v>51</v>
      </c>
      <c r="I65" s="17" t="s">
        <v>52</v>
      </c>
      <c r="J65" s="11">
        <v>46315</v>
      </c>
      <c r="K65" s="11">
        <v>46319</v>
      </c>
      <c r="L65" s="12" t="s">
        <v>301</v>
      </c>
      <c r="M65" s="12" t="s">
        <v>54</v>
      </c>
      <c r="N65" s="13" t="s">
        <v>347</v>
      </c>
    </row>
    <row r="66" spans="1:14" ht="44.1" customHeight="1" x14ac:dyDescent="0.25">
      <c r="A66" s="4" t="s">
        <v>348</v>
      </c>
      <c r="B66" s="7" t="s">
        <v>19</v>
      </c>
      <c r="C66" s="18" t="s">
        <v>97</v>
      </c>
      <c r="D66" s="7" t="s">
        <v>98</v>
      </c>
      <c r="E66" s="4" t="s">
        <v>349</v>
      </c>
      <c r="F66" s="5" t="s">
        <v>350</v>
      </c>
      <c r="G66" s="8" t="s">
        <v>351</v>
      </c>
      <c r="H66" s="16" t="s">
        <v>51</v>
      </c>
      <c r="I66" s="17" t="s">
        <v>52</v>
      </c>
      <c r="J66" s="6">
        <v>46300</v>
      </c>
      <c r="K66" s="6">
        <v>46304</v>
      </c>
      <c r="L66" s="7" t="s">
        <v>196</v>
      </c>
      <c r="M66" s="7" t="s">
        <v>54</v>
      </c>
      <c r="N66" s="8" t="s">
        <v>352</v>
      </c>
    </row>
    <row r="67" spans="1:14" ht="44.1" customHeight="1" x14ac:dyDescent="0.25">
      <c r="A67" s="9" t="s">
        <v>353</v>
      </c>
      <c r="B67" s="12" t="s">
        <v>19</v>
      </c>
      <c r="C67" s="18" t="s">
        <v>97</v>
      </c>
      <c r="D67" s="12" t="s">
        <v>76</v>
      </c>
      <c r="E67" s="9" t="s">
        <v>354</v>
      </c>
      <c r="F67" s="10" t="s">
        <v>355</v>
      </c>
      <c r="G67" s="13" t="s">
        <v>356</v>
      </c>
      <c r="H67" s="16" t="s">
        <v>51</v>
      </c>
      <c r="I67" s="17" t="s">
        <v>52</v>
      </c>
      <c r="J67" s="11">
        <v>46300</v>
      </c>
      <c r="K67" s="11">
        <v>46305</v>
      </c>
      <c r="L67" s="12" t="s">
        <v>348</v>
      </c>
      <c r="M67" s="12" t="s">
        <v>54</v>
      </c>
      <c r="N67" s="13" t="s">
        <v>357</v>
      </c>
    </row>
    <row r="68" spans="1:14" ht="44.1" customHeight="1" x14ac:dyDescent="0.25">
      <c r="A68" s="4" t="s">
        <v>358</v>
      </c>
      <c r="B68" s="7" t="s">
        <v>19</v>
      </c>
      <c r="C68" s="18" t="s">
        <v>97</v>
      </c>
      <c r="D68" s="7" t="s">
        <v>98</v>
      </c>
      <c r="E68" s="4" t="s">
        <v>359</v>
      </c>
      <c r="F68" s="5" t="s">
        <v>360</v>
      </c>
      <c r="G68" s="8" t="s">
        <v>361</v>
      </c>
      <c r="H68" s="16" t="s">
        <v>51</v>
      </c>
      <c r="I68" s="20" t="s">
        <v>120</v>
      </c>
      <c r="J68" s="6">
        <v>46304</v>
      </c>
      <c r="K68" s="6">
        <v>46308</v>
      </c>
      <c r="L68" s="7" t="s">
        <v>306</v>
      </c>
      <c r="M68" s="7" t="s">
        <v>54</v>
      </c>
      <c r="N68" s="8" t="s">
        <v>362</v>
      </c>
    </row>
    <row r="69" spans="1:14" ht="44.1" customHeight="1" x14ac:dyDescent="0.25">
      <c r="A69" s="9" t="s">
        <v>363</v>
      </c>
      <c r="B69" s="12" t="s">
        <v>19</v>
      </c>
      <c r="C69" s="18" t="s">
        <v>97</v>
      </c>
      <c r="D69" s="12" t="s">
        <v>98</v>
      </c>
      <c r="E69" s="9" t="s">
        <v>364</v>
      </c>
      <c r="F69" s="10" t="s">
        <v>365</v>
      </c>
      <c r="G69" s="13" t="s">
        <v>366</v>
      </c>
      <c r="H69" s="19" t="s">
        <v>101</v>
      </c>
      <c r="I69" s="17" t="s">
        <v>52</v>
      </c>
      <c r="J69" s="11">
        <v>46308</v>
      </c>
      <c r="K69" s="11">
        <v>46311</v>
      </c>
      <c r="L69" s="12" t="s">
        <v>348</v>
      </c>
      <c r="M69" s="12" t="s">
        <v>54</v>
      </c>
      <c r="N69" s="13" t="s">
        <v>367</v>
      </c>
    </row>
    <row r="70" spans="1:14" ht="44.1" customHeight="1" x14ac:dyDescent="0.25">
      <c r="A70" s="4" t="s">
        <v>368</v>
      </c>
      <c r="B70" s="7" t="s">
        <v>19</v>
      </c>
      <c r="C70" s="18" t="s">
        <v>97</v>
      </c>
      <c r="D70" s="7" t="s">
        <v>76</v>
      </c>
      <c r="E70" s="4" t="s">
        <v>354</v>
      </c>
      <c r="F70" s="5" t="s">
        <v>369</v>
      </c>
      <c r="G70" s="8" t="s">
        <v>370</v>
      </c>
      <c r="H70" s="22" t="s">
        <v>140</v>
      </c>
      <c r="I70" s="17" t="s">
        <v>52</v>
      </c>
      <c r="J70" s="6">
        <v>46305</v>
      </c>
      <c r="K70" s="6">
        <v>46310</v>
      </c>
      <c r="L70" s="7" t="s">
        <v>353</v>
      </c>
      <c r="M70" s="7" t="s">
        <v>54</v>
      </c>
      <c r="N70" s="8" t="s">
        <v>371</v>
      </c>
    </row>
    <row r="71" spans="1:14" ht="44.1" customHeight="1" x14ac:dyDescent="0.25">
      <c r="A71" s="9" t="s">
        <v>372</v>
      </c>
      <c r="B71" s="12" t="s">
        <v>19</v>
      </c>
      <c r="C71" s="18" t="s">
        <v>97</v>
      </c>
      <c r="D71" s="12" t="s">
        <v>76</v>
      </c>
      <c r="E71" s="9" t="s">
        <v>373</v>
      </c>
      <c r="F71" s="10" t="s">
        <v>374</v>
      </c>
      <c r="G71" s="13" t="s">
        <v>375</v>
      </c>
      <c r="H71" s="22" t="s">
        <v>140</v>
      </c>
      <c r="I71" s="17" t="s">
        <v>52</v>
      </c>
      <c r="J71" s="11">
        <v>46310</v>
      </c>
      <c r="K71" s="11">
        <v>46314</v>
      </c>
      <c r="L71" s="12" t="s">
        <v>368</v>
      </c>
      <c r="M71" s="12" t="s">
        <v>54</v>
      </c>
      <c r="N71" s="13" t="s">
        <v>376</v>
      </c>
    </row>
    <row r="72" spans="1:14" ht="44.1" customHeight="1" x14ac:dyDescent="0.25">
      <c r="A72" s="4" t="s">
        <v>377</v>
      </c>
      <c r="B72" s="7" t="s">
        <v>19</v>
      </c>
      <c r="C72" s="18" t="s">
        <v>97</v>
      </c>
      <c r="D72" s="7" t="s">
        <v>98</v>
      </c>
      <c r="E72" s="4" t="s">
        <v>364</v>
      </c>
      <c r="F72" s="5" t="s">
        <v>378</v>
      </c>
      <c r="G72" s="8" t="s">
        <v>379</v>
      </c>
      <c r="H72" s="22" t="s">
        <v>140</v>
      </c>
      <c r="I72" s="17" t="s">
        <v>52</v>
      </c>
      <c r="J72" s="6">
        <v>46311</v>
      </c>
      <c r="K72" s="6">
        <v>46315</v>
      </c>
      <c r="L72" s="7" t="s">
        <v>348</v>
      </c>
      <c r="M72" s="7" t="s">
        <v>54</v>
      </c>
      <c r="N72" s="8" t="s">
        <v>380</v>
      </c>
    </row>
    <row r="73" spans="1:14" ht="44.1" customHeight="1" x14ac:dyDescent="0.25">
      <c r="A73" s="9" t="s">
        <v>381</v>
      </c>
      <c r="B73" s="12" t="s">
        <v>19</v>
      </c>
      <c r="C73" s="18" t="s">
        <v>97</v>
      </c>
      <c r="D73" s="12" t="s">
        <v>98</v>
      </c>
      <c r="E73" s="9" t="s">
        <v>382</v>
      </c>
      <c r="F73" s="10" t="s">
        <v>383</v>
      </c>
      <c r="G73" s="13" t="s">
        <v>384</v>
      </c>
      <c r="H73" s="19" t="s">
        <v>101</v>
      </c>
      <c r="I73" s="20" t="s">
        <v>120</v>
      </c>
      <c r="J73" s="11">
        <v>46315</v>
      </c>
      <c r="K73" s="11">
        <v>46319</v>
      </c>
      <c r="L73" s="12" t="s">
        <v>358</v>
      </c>
      <c r="M73" s="12" t="s">
        <v>54</v>
      </c>
      <c r="N73" s="13" t="s">
        <v>385</v>
      </c>
    </row>
    <row r="74" spans="1:14" ht="44.1" customHeight="1" x14ac:dyDescent="0.25">
      <c r="A74" s="4" t="s">
        <v>386</v>
      </c>
      <c r="B74" s="7" t="s">
        <v>19</v>
      </c>
      <c r="C74" s="18" t="s">
        <v>97</v>
      </c>
      <c r="D74" s="7" t="s">
        <v>76</v>
      </c>
      <c r="E74" s="4" t="s">
        <v>387</v>
      </c>
      <c r="F74" s="5" t="s">
        <v>388</v>
      </c>
      <c r="G74" s="8" t="s">
        <v>389</v>
      </c>
      <c r="H74" s="19" t="s">
        <v>101</v>
      </c>
      <c r="I74" s="20" t="s">
        <v>120</v>
      </c>
      <c r="J74" s="6">
        <v>46314</v>
      </c>
      <c r="K74" s="6">
        <v>46319</v>
      </c>
      <c r="L74" s="7" t="s">
        <v>204</v>
      </c>
      <c r="M74" s="7" t="s">
        <v>54</v>
      </c>
      <c r="N74" s="8" t="s">
        <v>390</v>
      </c>
    </row>
    <row r="75" spans="1:14" ht="44.1" customHeight="1" x14ac:dyDescent="0.25">
      <c r="A75" s="9" t="s">
        <v>391</v>
      </c>
      <c r="B75" s="12" t="s">
        <v>19</v>
      </c>
      <c r="C75" s="21" t="s">
        <v>136</v>
      </c>
      <c r="D75" s="12" t="s">
        <v>117</v>
      </c>
      <c r="E75" s="9" t="s">
        <v>392</v>
      </c>
      <c r="F75" s="10" t="s">
        <v>393</v>
      </c>
      <c r="G75" s="13" t="s">
        <v>394</v>
      </c>
      <c r="H75" s="16" t="s">
        <v>51</v>
      </c>
      <c r="I75" s="17" t="s">
        <v>52</v>
      </c>
      <c r="J75" s="11">
        <v>46300</v>
      </c>
      <c r="K75" s="11">
        <v>46305</v>
      </c>
      <c r="L75" s="12" t="s">
        <v>316</v>
      </c>
      <c r="M75" s="12" t="s">
        <v>54</v>
      </c>
      <c r="N75" s="13" t="s">
        <v>395</v>
      </c>
    </row>
    <row r="76" spans="1:14" ht="44.1" customHeight="1" x14ac:dyDescent="0.25">
      <c r="A76" s="4" t="s">
        <v>396</v>
      </c>
      <c r="B76" s="7" t="s">
        <v>19</v>
      </c>
      <c r="C76" s="21" t="s">
        <v>136</v>
      </c>
      <c r="D76" s="7" t="s">
        <v>117</v>
      </c>
      <c r="E76" s="4" t="s">
        <v>397</v>
      </c>
      <c r="F76" s="5" t="s">
        <v>398</v>
      </c>
      <c r="G76" s="8" t="s">
        <v>399</v>
      </c>
      <c r="H76" s="16" t="s">
        <v>51</v>
      </c>
      <c r="I76" s="17" t="s">
        <v>52</v>
      </c>
      <c r="J76" s="6">
        <v>46305</v>
      </c>
      <c r="K76" s="6">
        <v>46310</v>
      </c>
      <c r="L76" s="7" t="s">
        <v>391</v>
      </c>
      <c r="M76" s="7" t="s">
        <v>54</v>
      </c>
      <c r="N76" s="8" t="s">
        <v>400</v>
      </c>
    </row>
    <row r="77" spans="1:14" ht="44.1" customHeight="1" x14ac:dyDescent="0.25">
      <c r="A77" s="9" t="s">
        <v>401</v>
      </c>
      <c r="B77" s="12" t="s">
        <v>19</v>
      </c>
      <c r="C77" s="21" t="s">
        <v>136</v>
      </c>
      <c r="D77" s="12" t="s">
        <v>117</v>
      </c>
      <c r="E77" s="9" t="s">
        <v>402</v>
      </c>
      <c r="F77" s="10" t="s">
        <v>403</v>
      </c>
      <c r="G77" s="13" t="s">
        <v>404</v>
      </c>
      <c r="H77" s="16" t="s">
        <v>51</v>
      </c>
      <c r="I77" s="17" t="s">
        <v>52</v>
      </c>
      <c r="J77" s="11">
        <v>46310</v>
      </c>
      <c r="K77" s="11">
        <v>46314</v>
      </c>
      <c r="L77" s="12" t="s">
        <v>396</v>
      </c>
      <c r="M77" s="12" t="s">
        <v>54</v>
      </c>
      <c r="N77" s="13" t="s">
        <v>405</v>
      </c>
    </row>
    <row r="78" spans="1:14" ht="44.1" customHeight="1" x14ac:dyDescent="0.25">
      <c r="A78" s="4" t="s">
        <v>406</v>
      </c>
      <c r="B78" s="7" t="s">
        <v>19</v>
      </c>
      <c r="C78" s="21" t="s">
        <v>136</v>
      </c>
      <c r="D78" s="7" t="s">
        <v>47</v>
      </c>
      <c r="E78" s="4" t="s">
        <v>407</v>
      </c>
      <c r="F78" s="5" t="s">
        <v>408</v>
      </c>
      <c r="G78" s="8" t="s">
        <v>409</v>
      </c>
      <c r="H78" s="19" t="s">
        <v>101</v>
      </c>
      <c r="I78" s="17" t="s">
        <v>52</v>
      </c>
      <c r="J78" s="6">
        <v>46300</v>
      </c>
      <c r="K78" s="6">
        <v>46305</v>
      </c>
      <c r="L78" s="7" t="s">
        <v>196</v>
      </c>
      <c r="M78" s="7" t="s">
        <v>54</v>
      </c>
      <c r="N78" s="8" t="s">
        <v>410</v>
      </c>
    </row>
    <row r="79" spans="1:14" ht="44.1" customHeight="1" x14ac:dyDescent="0.25">
      <c r="A79" s="9" t="s">
        <v>411</v>
      </c>
      <c r="B79" s="12" t="s">
        <v>19</v>
      </c>
      <c r="C79" s="21" t="s">
        <v>136</v>
      </c>
      <c r="D79" s="12" t="s">
        <v>47</v>
      </c>
      <c r="E79" s="9" t="s">
        <v>412</v>
      </c>
      <c r="F79" s="10" t="s">
        <v>413</v>
      </c>
      <c r="G79" s="13" t="s">
        <v>414</v>
      </c>
      <c r="H79" s="19" t="s">
        <v>101</v>
      </c>
      <c r="I79" s="17" t="s">
        <v>52</v>
      </c>
      <c r="J79" s="11">
        <v>46305</v>
      </c>
      <c r="K79" s="11">
        <v>46310</v>
      </c>
      <c r="L79" s="12" t="s">
        <v>204</v>
      </c>
      <c r="M79" s="12" t="s">
        <v>54</v>
      </c>
      <c r="N79" s="13" t="s">
        <v>415</v>
      </c>
    </row>
    <row r="80" spans="1:14" ht="44.1" customHeight="1" x14ac:dyDescent="0.25">
      <c r="A80" s="4" t="s">
        <v>416</v>
      </c>
      <c r="B80" s="7" t="s">
        <v>19</v>
      </c>
      <c r="C80" s="21" t="s">
        <v>136</v>
      </c>
      <c r="D80" s="7" t="s">
        <v>47</v>
      </c>
      <c r="E80" s="4" t="s">
        <v>417</v>
      </c>
      <c r="F80" s="5" t="s">
        <v>418</v>
      </c>
      <c r="G80" s="8" t="s">
        <v>419</v>
      </c>
      <c r="H80" s="19" t="s">
        <v>101</v>
      </c>
      <c r="I80" s="17" t="s">
        <v>52</v>
      </c>
      <c r="J80" s="6">
        <v>46310</v>
      </c>
      <c r="K80" s="6">
        <v>46314</v>
      </c>
      <c r="L80" s="7" t="s">
        <v>411</v>
      </c>
      <c r="M80" s="7" t="s">
        <v>54</v>
      </c>
      <c r="N80" s="8" t="s">
        <v>420</v>
      </c>
    </row>
    <row r="81" spans="1:14" ht="44.1" customHeight="1" x14ac:dyDescent="0.25">
      <c r="A81" s="9" t="s">
        <v>421</v>
      </c>
      <c r="B81" s="12" t="s">
        <v>19</v>
      </c>
      <c r="C81" s="21" t="s">
        <v>136</v>
      </c>
      <c r="D81" s="12" t="s">
        <v>47</v>
      </c>
      <c r="E81" s="9" t="s">
        <v>407</v>
      </c>
      <c r="F81" s="10" t="s">
        <v>422</v>
      </c>
      <c r="G81" s="13" t="s">
        <v>423</v>
      </c>
      <c r="H81" s="22" t="s">
        <v>140</v>
      </c>
      <c r="I81" s="17" t="s">
        <v>52</v>
      </c>
      <c r="J81" s="11">
        <v>46314</v>
      </c>
      <c r="K81" s="11">
        <v>46319</v>
      </c>
      <c r="L81" s="12" t="s">
        <v>406</v>
      </c>
      <c r="M81" s="12" t="s">
        <v>54</v>
      </c>
      <c r="N81" s="13" t="s">
        <v>424</v>
      </c>
    </row>
    <row r="82" spans="1:14" ht="44.1" customHeight="1" x14ac:dyDescent="0.25">
      <c r="A82" s="4" t="s">
        <v>425</v>
      </c>
      <c r="B82" s="7" t="s">
        <v>19</v>
      </c>
      <c r="C82" s="21" t="s">
        <v>136</v>
      </c>
      <c r="D82" s="7" t="s">
        <v>117</v>
      </c>
      <c r="E82" s="4" t="s">
        <v>397</v>
      </c>
      <c r="F82" s="5" t="s">
        <v>426</v>
      </c>
      <c r="G82" s="8" t="s">
        <v>427</v>
      </c>
      <c r="H82" s="22" t="s">
        <v>140</v>
      </c>
      <c r="I82" s="20" t="s">
        <v>120</v>
      </c>
      <c r="J82" s="6">
        <v>46314</v>
      </c>
      <c r="K82" s="6">
        <v>46319</v>
      </c>
      <c r="L82" s="7" t="s">
        <v>396</v>
      </c>
      <c r="M82" s="7" t="s">
        <v>54</v>
      </c>
      <c r="N82" s="8" t="s">
        <v>428</v>
      </c>
    </row>
    <row r="83" spans="1:14" ht="44.1" customHeight="1" x14ac:dyDescent="0.25">
      <c r="A83" s="9" t="s">
        <v>429</v>
      </c>
      <c r="B83" s="12" t="s">
        <v>23</v>
      </c>
      <c r="C83" s="15" t="s">
        <v>46</v>
      </c>
      <c r="D83" s="12" t="s">
        <v>47</v>
      </c>
      <c r="E83" s="9" t="s">
        <v>430</v>
      </c>
      <c r="F83" s="10" t="s">
        <v>431</v>
      </c>
      <c r="G83" s="13" t="s">
        <v>432</v>
      </c>
      <c r="H83" s="16" t="s">
        <v>51</v>
      </c>
      <c r="I83" s="17" t="s">
        <v>52</v>
      </c>
      <c r="J83" s="11">
        <v>46320</v>
      </c>
      <c r="K83" s="11">
        <v>46324</v>
      </c>
      <c r="L83" s="12" t="s">
        <v>401</v>
      </c>
      <c r="M83" s="12" t="s">
        <v>54</v>
      </c>
      <c r="N83" s="13" t="s">
        <v>433</v>
      </c>
    </row>
    <row r="84" spans="1:14" ht="44.1" customHeight="1" x14ac:dyDescent="0.25">
      <c r="A84" s="4" t="s">
        <v>434</v>
      </c>
      <c r="B84" s="7" t="s">
        <v>23</v>
      </c>
      <c r="C84" s="15" t="s">
        <v>46</v>
      </c>
      <c r="D84" s="7" t="s">
        <v>47</v>
      </c>
      <c r="E84" s="4" t="s">
        <v>430</v>
      </c>
      <c r="F84" s="5" t="s">
        <v>435</v>
      </c>
      <c r="G84" s="8" t="s">
        <v>436</v>
      </c>
      <c r="H84" s="16" t="s">
        <v>51</v>
      </c>
      <c r="I84" s="17" t="s">
        <v>52</v>
      </c>
      <c r="J84" s="6">
        <v>46324</v>
      </c>
      <c r="K84" s="6">
        <v>46328</v>
      </c>
      <c r="L84" s="7" t="s">
        <v>429</v>
      </c>
      <c r="M84" s="7" t="s">
        <v>54</v>
      </c>
      <c r="N84" s="8" t="s">
        <v>437</v>
      </c>
    </row>
    <row r="85" spans="1:14" ht="44.1" customHeight="1" x14ac:dyDescent="0.25">
      <c r="A85" s="9" t="s">
        <v>438</v>
      </c>
      <c r="B85" s="12" t="s">
        <v>23</v>
      </c>
      <c r="C85" s="15" t="s">
        <v>46</v>
      </c>
      <c r="D85" s="12" t="s">
        <v>47</v>
      </c>
      <c r="E85" s="9" t="s">
        <v>48</v>
      </c>
      <c r="F85" s="10" t="s">
        <v>439</v>
      </c>
      <c r="G85" s="13" t="s">
        <v>440</v>
      </c>
      <c r="H85" s="24" t="s">
        <v>441</v>
      </c>
      <c r="I85" s="17" t="s">
        <v>52</v>
      </c>
      <c r="J85" s="11">
        <v>46328</v>
      </c>
      <c r="K85" s="11">
        <v>46331</v>
      </c>
      <c r="L85" s="12" t="s">
        <v>84</v>
      </c>
      <c r="M85" s="12" t="s">
        <v>54</v>
      </c>
      <c r="N85" s="13" t="s">
        <v>442</v>
      </c>
    </row>
    <row r="86" spans="1:14" ht="44.1" customHeight="1" x14ac:dyDescent="0.25">
      <c r="A86" s="4" t="s">
        <v>443</v>
      </c>
      <c r="B86" s="7" t="s">
        <v>23</v>
      </c>
      <c r="C86" s="15" t="s">
        <v>46</v>
      </c>
      <c r="D86" s="7" t="s">
        <v>47</v>
      </c>
      <c r="E86" s="4" t="s">
        <v>48</v>
      </c>
      <c r="F86" s="5" t="s">
        <v>444</v>
      </c>
      <c r="G86" s="8" t="s">
        <v>445</v>
      </c>
      <c r="H86" s="24" t="s">
        <v>441</v>
      </c>
      <c r="I86" s="20" t="s">
        <v>120</v>
      </c>
      <c r="J86" s="6">
        <v>46331</v>
      </c>
      <c r="K86" s="6">
        <v>46335</v>
      </c>
      <c r="L86" s="7" t="s">
        <v>53</v>
      </c>
      <c r="M86" s="7" t="s">
        <v>54</v>
      </c>
      <c r="N86" s="8" t="s">
        <v>446</v>
      </c>
    </row>
    <row r="87" spans="1:14" ht="44.1" customHeight="1" x14ac:dyDescent="0.25">
      <c r="A87" s="9" t="s">
        <v>447</v>
      </c>
      <c r="B87" s="12" t="s">
        <v>23</v>
      </c>
      <c r="C87" s="15" t="s">
        <v>46</v>
      </c>
      <c r="D87" s="12" t="s">
        <v>76</v>
      </c>
      <c r="E87" s="9" t="s">
        <v>430</v>
      </c>
      <c r="F87" s="10" t="s">
        <v>448</v>
      </c>
      <c r="G87" s="13" t="s">
        <v>449</v>
      </c>
      <c r="H87" s="16" t="s">
        <v>51</v>
      </c>
      <c r="I87" s="17" t="s">
        <v>52</v>
      </c>
      <c r="J87" s="11">
        <v>46320</v>
      </c>
      <c r="K87" s="11">
        <v>46323</v>
      </c>
      <c r="L87" s="12" t="s">
        <v>434</v>
      </c>
      <c r="M87" s="12" t="s">
        <v>54</v>
      </c>
      <c r="N87" s="13" t="s">
        <v>450</v>
      </c>
    </row>
    <row r="88" spans="1:14" ht="44.1" customHeight="1" x14ac:dyDescent="0.25">
      <c r="A88" s="4" t="s">
        <v>451</v>
      </c>
      <c r="B88" s="7" t="s">
        <v>23</v>
      </c>
      <c r="C88" s="15" t="s">
        <v>46</v>
      </c>
      <c r="D88" s="7" t="s">
        <v>76</v>
      </c>
      <c r="E88" s="4" t="s">
        <v>452</v>
      </c>
      <c r="F88" s="5" t="s">
        <v>453</v>
      </c>
      <c r="G88" s="8" t="s">
        <v>454</v>
      </c>
      <c r="H88" s="16" t="s">
        <v>51</v>
      </c>
      <c r="I88" s="20" t="s">
        <v>120</v>
      </c>
      <c r="J88" s="6">
        <v>46323</v>
      </c>
      <c r="K88" s="6">
        <v>46326</v>
      </c>
      <c r="L88" s="7" t="s">
        <v>447</v>
      </c>
      <c r="M88" s="7" t="s">
        <v>54</v>
      </c>
      <c r="N88" s="8" t="s">
        <v>455</v>
      </c>
    </row>
    <row r="89" spans="1:14" ht="44.1" customHeight="1" x14ac:dyDescent="0.25">
      <c r="A89" s="9" t="s">
        <v>456</v>
      </c>
      <c r="B89" s="12" t="s">
        <v>23</v>
      </c>
      <c r="C89" s="15" t="s">
        <v>46</v>
      </c>
      <c r="D89" s="12" t="s">
        <v>76</v>
      </c>
      <c r="E89" s="9" t="s">
        <v>48</v>
      </c>
      <c r="F89" s="10" t="s">
        <v>457</v>
      </c>
      <c r="G89" s="13" t="s">
        <v>458</v>
      </c>
      <c r="H89" s="24" t="s">
        <v>441</v>
      </c>
      <c r="I89" s="17" t="s">
        <v>52</v>
      </c>
      <c r="J89" s="11">
        <v>46326</v>
      </c>
      <c r="K89" s="11">
        <v>46330</v>
      </c>
      <c r="L89" s="12" t="s">
        <v>438</v>
      </c>
      <c r="M89" s="12" t="s">
        <v>54</v>
      </c>
      <c r="N89" s="13" t="s">
        <v>459</v>
      </c>
    </row>
    <row r="90" spans="1:14" ht="44.1" customHeight="1" x14ac:dyDescent="0.25">
      <c r="A90" s="4" t="s">
        <v>460</v>
      </c>
      <c r="B90" s="7" t="s">
        <v>23</v>
      </c>
      <c r="C90" s="15" t="s">
        <v>46</v>
      </c>
      <c r="D90" s="7" t="s">
        <v>76</v>
      </c>
      <c r="E90" s="4" t="s">
        <v>48</v>
      </c>
      <c r="F90" s="5" t="s">
        <v>461</v>
      </c>
      <c r="G90" s="8" t="s">
        <v>462</v>
      </c>
      <c r="H90" s="24" t="s">
        <v>441</v>
      </c>
      <c r="I90" s="20" t="s">
        <v>120</v>
      </c>
      <c r="J90" s="6">
        <v>46330</v>
      </c>
      <c r="K90" s="6">
        <v>46333</v>
      </c>
      <c r="L90" s="7" t="s">
        <v>53</v>
      </c>
      <c r="M90" s="7" t="s">
        <v>54</v>
      </c>
      <c r="N90" s="8" t="s">
        <v>463</v>
      </c>
    </row>
    <row r="91" spans="1:14" ht="44.1" customHeight="1" x14ac:dyDescent="0.25">
      <c r="A91" s="9" t="s">
        <v>464</v>
      </c>
      <c r="B91" s="12" t="s">
        <v>23</v>
      </c>
      <c r="C91" s="18" t="s">
        <v>97</v>
      </c>
      <c r="D91" s="12" t="s">
        <v>117</v>
      </c>
      <c r="E91" s="9" t="s">
        <v>465</v>
      </c>
      <c r="F91" s="10" t="s">
        <v>466</v>
      </c>
      <c r="G91" s="13" t="s">
        <v>467</v>
      </c>
      <c r="H91" s="19" t="s">
        <v>101</v>
      </c>
      <c r="I91" s="17" t="s">
        <v>52</v>
      </c>
      <c r="J91" s="11">
        <v>46320</v>
      </c>
      <c r="K91" s="11">
        <v>46325</v>
      </c>
      <c r="L91" s="12" t="s">
        <v>429</v>
      </c>
      <c r="M91" s="12" t="s">
        <v>54</v>
      </c>
      <c r="N91" s="13" t="s">
        <v>468</v>
      </c>
    </row>
    <row r="92" spans="1:14" ht="44.1" customHeight="1" x14ac:dyDescent="0.25">
      <c r="A92" s="4" t="s">
        <v>469</v>
      </c>
      <c r="B92" s="7" t="s">
        <v>23</v>
      </c>
      <c r="C92" s="18" t="s">
        <v>97</v>
      </c>
      <c r="D92" s="7" t="s">
        <v>117</v>
      </c>
      <c r="E92" s="4" t="s">
        <v>470</v>
      </c>
      <c r="F92" s="5" t="s">
        <v>471</v>
      </c>
      <c r="G92" s="8" t="s">
        <v>472</v>
      </c>
      <c r="H92" s="19" t="s">
        <v>101</v>
      </c>
      <c r="I92" s="17" t="s">
        <v>52</v>
      </c>
      <c r="J92" s="6">
        <v>46325</v>
      </c>
      <c r="K92" s="6">
        <v>46330</v>
      </c>
      <c r="L92" s="7" t="s">
        <v>464</v>
      </c>
      <c r="M92" s="7" t="s">
        <v>54</v>
      </c>
      <c r="N92" s="8" t="s">
        <v>473</v>
      </c>
    </row>
    <row r="93" spans="1:14" ht="44.1" customHeight="1" x14ac:dyDescent="0.25">
      <c r="A93" s="9" t="s">
        <v>474</v>
      </c>
      <c r="B93" s="12" t="s">
        <v>23</v>
      </c>
      <c r="C93" s="18" t="s">
        <v>97</v>
      </c>
      <c r="D93" s="12" t="s">
        <v>156</v>
      </c>
      <c r="E93" s="9" t="s">
        <v>475</v>
      </c>
      <c r="F93" s="10" t="s">
        <v>476</v>
      </c>
      <c r="G93" s="13" t="s">
        <v>477</v>
      </c>
      <c r="H93" s="19" t="s">
        <v>101</v>
      </c>
      <c r="I93" s="20" t="s">
        <v>120</v>
      </c>
      <c r="J93" s="11">
        <v>46320</v>
      </c>
      <c r="K93" s="11">
        <v>46325</v>
      </c>
      <c r="L93" s="12" t="s">
        <v>434</v>
      </c>
      <c r="M93" s="12" t="s">
        <v>54</v>
      </c>
      <c r="N93" s="13" t="s">
        <v>478</v>
      </c>
    </row>
    <row r="94" spans="1:14" ht="44.1" customHeight="1" x14ac:dyDescent="0.25">
      <c r="A94" s="4" t="s">
        <v>479</v>
      </c>
      <c r="B94" s="7" t="s">
        <v>23</v>
      </c>
      <c r="C94" s="18" t="s">
        <v>97</v>
      </c>
      <c r="D94" s="7" t="s">
        <v>117</v>
      </c>
      <c r="E94" s="4" t="s">
        <v>48</v>
      </c>
      <c r="F94" s="5" t="s">
        <v>480</v>
      </c>
      <c r="G94" s="8" t="s">
        <v>481</v>
      </c>
      <c r="H94" s="25" t="s">
        <v>482</v>
      </c>
      <c r="I94" s="17" t="s">
        <v>52</v>
      </c>
      <c r="J94" s="6">
        <v>46330</v>
      </c>
      <c r="K94" s="6">
        <v>46334</v>
      </c>
      <c r="L94" s="7" t="s">
        <v>464</v>
      </c>
      <c r="M94" s="7" t="s">
        <v>54</v>
      </c>
      <c r="N94" s="8" t="s">
        <v>483</v>
      </c>
    </row>
    <row r="95" spans="1:14" ht="44.1" customHeight="1" x14ac:dyDescent="0.25">
      <c r="A95" s="9" t="s">
        <v>484</v>
      </c>
      <c r="B95" s="12" t="s">
        <v>23</v>
      </c>
      <c r="C95" s="18" t="s">
        <v>97</v>
      </c>
      <c r="D95" s="12" t="s">
        <v>117</v>
      </c>
      <c r="E95" s="9" t="s">
        <v>465</v>
      </c>
      <c r="F95" s="10" t="s">
        <v>485</v>
      </c>
      <c r="G95" s="13" t="s">
        <v>486</v>
      </c>
      <c r="H95" s="22" t="s">
        <v>140</v>
      </c>
      <c r="I95" s="17" t="s">
        <v>52</v>
      </c>
      <c r="J95" s="11">
        <v>46334</v>
      </c>
      <c r="K95" s="11">
        <v>46339</v>
      </c>
      <c r="L95" s="12" t="s">
        <v>429</v>
      </c>
      <c r="M95" s="12" t="s">
        <v>54</v>
      </c>
      <c r="N95" s="13" t="s">
        <v>487</v>
      </c>
    </row>
    <row r="96" spans="1:14" ht="44.1" customHeight="1" x14ac:dyDescent="0.25">
      <c r="A96" s="4" t="s">
        <v>488</v>
      </c>
      <c r="B96" s="7" t="s">
        <v>23</v>
      </c>
      <c r="C96" s="18" t="s">
        <v>97</v>
      </c>
      <c r="D96" s="7" t="s">
        <v>156</v>
      </c>
      <c r="E96" s="4" t="s">
        <v>489</v>
      </c>
      <c r="F96" s="5" t="s">
        <v>490</v>
      </c>
      <c r="G96" s="8" t="s">
        <v>491</v>
      </c>
      <c r="H96" s="22" t="s">
        <v>140</v>
      </c>
      <c r="I96" s="17" t="s">
        <v>52</v>
      </c>
      <c r="J96" s="6">
        <v>46325</v>
      </c>
      <c r="K96" s="6">
        <v>46330</v>
      </c>
      <c r="L96" s="7" t="s">
        <v>484</v>
      </c>
      <c r="M96" s="7" t="s">
        <v>54</v>
      </c>
      <c r="N96" s="8" t="s">
        <v>492</v>
      </c>
    </row>
    <row r="97" spans="1:14" ht="44.1" customHeight="1" x14ac:dyDescent="0.25">
      <c r="A97" s="9" t="s">
        <v>493</v>
      </c>
      <c r="B97" s="12" t="s">
        <v>23</v>
      </c>
      <c r="C97" s="18" t="s">
        <v>97</v>
      </c>
      <c r="D97" s="12" t="s">
        <v>156</v>
      </c>
      <c r="E97" s="9" t="s">
        <v>452</v>
      </c>
      <c r="F97" s="10" t="s">
        <v>494</v>
      </c>
      <c r="G97" s="13" t="s">
        <v>495</v>
      </c>
      <c r="H97" s="22" t="s">
        <v>140</v>
      </c>
      <c r="I97" s="20" t="s">
        <v>120</v>
      </c>
      <c r="J97" s="11">
        <v>46330</v>
      </c>
      <c r="K97" s="11">
        <v>46334</v>
      </c>
      <c r="L97" s="12" t="s">
        <v>451</v>
      </c>
      <c r="M97" s="12" t="s">
        <v>54</v>
      </c>
      <c r="N97" s="13" t="s">
        <v>496</v>
      </c>
    </row>
    <row r="98" spans="1:14" ht="44.1" customHeight="1" x14ac:dyDescent="0.25">
      <c r="A98" s="4" t="s">
        <v>497</v>
      </c>
      <c r="B98" s="7" t="s">
        <v>23</v>
      </c>
      <c r="C98" s="18" t="s">
        <v>97</v>
      </c>
      <c r="D98" s="7" t="s">
        <v>156</v>
      </c>
      <c r="E98" s="4" t="s">
        <v>48</v>
      </c>
      <c r="F98" s="5" t="s">
        <v>498</v>
      </c>
      <c r="G98" s="8" t="s">
        <v>499</v>
      </c>
      <c r="H98" s="25" t="s">
        <v>482</v>
      </c>
      <c r="I98" s="17" t="s">
        <v>52</v>
      </c>
      <c r="J98" s="6">
        <v>46334</v>
      </c>
      <c r="K98" s="6">
        <v>46339</v>
      </c>
      <c r="L98" s="7" t="s">
        <v>484</v>
      </c>
      <c r="M98" s="7" t="s">
        <v>54</v>
      </c>
      <c r="N98" s="8" t="s">
        <v>500</v>
      </c>
    </row>
    <row r="99" spans="1:14" ht="44.1" customHeight="1" x14ac:dyDescent="0.25">
      <c r="A99" s="9" t="s">
        <v>501</v>
      </c>
      <c r="B99" s="12" t="s">
        <v>23</v>
      </c>
      <c r="C99" s="21" t="s">
        <v>136</v>
      </c>
      <c r="D99" s="12" t="s">
        <v>98</v>
      </c>
      <c r="E99" s="9" t="s">
        <v>502</v>
      </c>
      <c r="F99" s="10" t="s">
        <v>503</v>
      </c>
      <c r="G99" s="13" t="s">
        <v>504</v>
      </c>
      <c r="H99" s="16" t="s">
        <v>51</v>
      </c>
      <c r="I99" s="17" t="s">
        <v>52</v>
      </c>
      <c r="J99" s="11">
        <v>46320</v>
      </c>
      <c r="K99" s="11">
        <v>46325</v>
      </c>
      <c r="L99" s="12" t="s">
        <v>401</v>
      </c>
      <c r="M99" s="12" t="s">
        <v>54</v>
      </c>
      <c r="N99" s="13" t="s">
        <v>505</v>
      </c>
    </row>
    <row r="100" spans="1:14" ht="44.1" customHeight="1" x14ac:dyDescent="0.25">
      <c r="A100" s="4" t="s">
        <v>506</v>
      </c>
      <c r="B100" s="7" t="s">
        <v>23</v>
      </c>
      <c r="C100" s="21" t="s">
        <v>136</v>
      </c>
      <c r="D100" s="7" t="s">
        <v>98</v>
      </c>
      <c r="E100" s="4" t="s">
        <v>507</v>
      </c>
      <c r="F100" s="5" t="s">
        <v>508</v>
      </c>
      <c r="G100" s="8" t="s">
        <v>509</v>
      </c>
      <c r="H100" s="16" t="s">
        <v>51</v>
      </c>
      <c r="I100" s="20" t="s">
        <v>120</v>
      </c>
      <c r="J100" s="6">
        <v>46325</v>
      </c>
      <c r="K100" s="6">
        <v>46330</v>
      </c>
      <c r="L100" s="7" t="s">
        <v>401</v>
      </c>
      <c r="M100" s="7" t="s">
        <v>54</v>
      </c>
      <c r="N100" s="8" t="s">
        <v>510</v>
      </c>
    </row>
    <row r="101" spans="1:14" ht="44.1" customHeight="1" x14ac:dyDescent="0.25">
      <c r="A101" s="9" t="s">
        <v>511</v>
      </c>
      <c r="B101" s="12" t="s">
        <v>23</v>
      </c>
      <c r="C101" s="21" t="s">
        <v>136</v>
      </c>
      <c r="D101" s="12" t="s">
        <v>98</v>
      </c>
      <c r="E101" s="9" t="s">
        <v>502</v>
      </c>
      <c r="F101" s="10" t="s">
        <v>512</v>
      </c>
      <c r="G101" s="13" t="s">
        <v>513</v>
      </c>
      <c r="H101" s="19" t="s">
        <v>101</v>
      </c>
      <c r="I101" s="17" t="s">
        <v>52</v>
      </c>
      <c r="J101" s="11">
        <v>46330</v>
      </c>
      <c r="K101" s="11">
        <v>46334</v>
      </c>
      <c r="L101" s="12" t="s">
        <v>501</v>
      </c>
      <c r="M101" s="12" t="s">
        <v>54</v>
      </c>
      <c r="N101" s="13" t="s">
        <v>514</v>
      </c>
    </row>
    <row r="102" spans="1:14" ht="44.1" customHeight="1" x14ac:dyDescent="0.25">
      <c r="A102" s="4" t="s">
        <v>515</v>
      </c>
      <c r="B102" s="7" t="s">
        <v>23</v>
      </c>
      <c r="C102" s="21" t="s">
        <v>136</v>
      </c>
      <c r="D102" s="7" t="s">
        <v>137</v>
      </c>
      <c r="E102" s="4" t="s">
        <v>48</v>
      </c>
      <c r="F102" s="5" t="s">
        <v>516</v>
      </c>
      <c r="G102" s="8" t="s">
        <v>517</v>
      </c>
      <c r="H102" s="24" t="s">
        <v>441</v>
      </c>
      <c r="I102" s="17" t="s">
        <v>52</v>
      </c>
      <c r="J102" s="6">
        <v>46320</v>
      </c>
      <c r="K102" s="6">
        <v>46325</v>
      </c>
      <c r="L102" s="7" t="s">
        <v>479</v>
      </c>
      <c r="M102" s="7" t="s">
        <v>54</v>
      </c>
      <c r="N102" s="8" t="s">
        <v>518</v>
      </c>
    </row>
    <row r="103" spans="1:14" ht="44.1" customHeight="1" x14ac:dyDescent="0.25">
      <c r="A103" s="9" t="s">
        <v>519</v>
      </c>
      <c r="B103" s="12" t="s">
        <v>23</v>
      </c>
      <c r="C103" s="21" t="s">
        <v>136</v>
      </c>
      <c r="D103" s="12" t="s">
        <v>137</v>
      </c>
      <c r="E103" s="9" t="s">
        <v>520</v>
      </c>
      <c r="F103" s="10" t="s">
        <v>521</v>
      </c>
      <c r="G103" s="13" t="s">
        <v>522</v>
      </c>
      <c r="H103" s="19" t="s">
        <v>101</v>
      </c>
      <c r="I103" s="20" t="s">
        <v>120</v>
      </c>
      <c r="J103" s="11">
        <v>46325</v>
      </c>
      <c r="K103" s="11">
        <v>46330</v>
      </c>
      <c r="L103" s="12" t="s">
        <v>401</v>
      </c>
      <c r="M103" s="12" t="s">
        <v>54</v>
      </c>
      <c r="N103" s="13" t="s">
        <v>523</v>
      </c>
    </row>
    <row r="104" spans="1:14" ht="44.1" customHeight="1" x14ac:dyDescent="0.25">
      <c r="A104" s="4" t="s">
        <v>524</v>
      </c>
      <c r="B104" s="7" t="s">
        <v>23</v>
      </c>
      <c r="C104" s="21" t="s">
        <v>136</v>
      </c>
      <c r="D104" s="7" t="s">
        <v>137</v>
      </c>
      <c r="E104" s="4" t="s">
        <v>525</v>
      </c>
      <c r="F104" s="5" t="s">
        <v>526</v>
      </c>
      <c r="G104" s="8" t="s">
        <v>527</v>
      </c>
      <c r="H104" s="19" t="s">
        <v>101</v>
      </c>
      <c r="I104" s="20" t="s">
        <v>120</v>
      </c>
      <c r="J104" s="6">
        <v>46330</v>
      </c>
      <c r="K104" s="6">
        <v>46334</v>
      </c>
      <c r="L104" s="7" t="s">
        <v>406</v>
      </c>
      <c r="M104" s="7" t="s">
        <v>54</v>
      </c>
      <c r="N104" s="8" t="s">
        <v>528</v>
      </c>
    </row>
    <row r="105" spans="1:14" ht="44.1" customHeight="1" x14ac:dyDescent="0.25">
      <c r="A105" s="9" t="s">
        <v>529</v>
      </c>
      <c r="B105" s="12" t="s">
        <v>23</v>
      </c>
      <c r="C105" s="21" t="s">
        <v>136</v>
      </c>
      <c r="D105" s="12" t="s">
        <v>98</v>
      </c>
      <c r="E105" s="9" t="s">
        <v>502</v>
      </c>
      <c r="F105" s="10" t="s">
        <v>530</v>
      </c>
      <c r="G105" s="13" t="s">
        <v>531</v>
      </c>
      <c r="H105" s="22" t="s">
        <v>140</v>
      </c>
      <c r="I105" s="20" t="s">
        <v>120</v>
      </c>
      <c r="J105" s="11">
        <v>46334</v>
      </c>
      <c r="K105" s="11">
        <v>46339</v>
      </c>
      <c r="L105" s="12" t="s">
        <v>501</v>
      </c>
      <c r="M105" s="12" t="s">
        <v>54</v>
      </c>
      <c r="N105" s="13" t="s">
        <v>532</v>
      </c>
    </row>
    <row r="106" spans="1:14" ht="44.1" customHeight="1" x14ac:dyDescent="0.25">
      <c r="A106" s="4" t="s">
        <v>533</v>
      </c>
      <c r="B106" s="7" t="s">
        <v>23</v>
      </c>
      <c r="C106" s="21" t="s">
        <v>136</v>
      </c>
      <c r="D106" s="7" t="s">
        <v>137</v>
      </c>
      <c r="E106" s="4" t="s">
        <v>48</v>
      </c>
      <c r="F106" s="5" t="s">
        <v>534</v>
      </c>
      <c r="G106" s="8" t="s">
        <v>535</v>
      </c>
      <c r="H106" s="25" t="s">
        <v>482</v>
      </c>
      <c r="I106" s="17" t="s">
        <v>52</v>
      </c>
      <c r="J106" s="6">
        <v>46334</v>
      </c>
      <c r="K106" s="6">
        <v>46339</v>
      </c>
      <c r="L106" s="7" t="s">
        <v>92</v>
      </c>
      <c r="M106" s="7" t="s">
        <v>54</v>
      </c>
      <c r="N106" s="8" t="s">
        <v>536</v>
      </c>
    </row>
    <row r="107" spans="1:14" ht="44.1" customHeight="1" x14ac:dyDescent="0.25">
      <c r="A107" s="9" t="s">
        <v>537</v>
      </c>
      <c r="B107" s="12" t="s">
        <v>23</v>
      </c>
      <c r="C107" s="15" t="s">
        <v>46</v>
      </c>
      <c r="D107" s="12" t="s">
        <v>76</v>
      </c>
      <c r="E107" s="9" t="s">
        <v>48</v>
      </c>
      <c r="F107" s="10" t="s">
        <v>538</v>
      </c>
      <c r="G107" s="13" t="s">
        <v>539</v>
      </c>
      <c r="H107" s="25" t="s">
        <v>482</v>
      </c>
      <c r="I107" s="17" t="s">
        <v>52</v>
      </c>
      <c r="J107" s="11">
        <v>46333</v>
      </c>
      <c r="K107" s="11">
        <v>46336</v>
      </c>
      <c r="L107" s="12" t="s">
        <v>316</v>
      </c>
      <c r="M107" s="12" t="s">
        <v>54</v>
      </c>
      <c r="N107" s="13" t="s">
        <v>540</v>
      </c>
    </row>
    <row r="108" spans="1:14" ht="44.1" customHeight="1" x14ac:dyDescent="0.25">
      <c r="A108" s="4" t="s">
        <v>541</v>
      </c>
      <c r="B108" s="7" t="s">
        <v>23</v>
      </c>
      <c r="C108" s="15" t="s">
        <v>46</v>
      </c>
      <c r="D108" s="7" t="s">
        <v>47</v>
      </c>
      <c r="E108" s="4" t="s">
        <v>48</v>
      </c>
      <c r="F108" s="5" t="s">
        <v>542</v>
      </c>
      <c r="G108" s="8" t="s">
        <v>543</v>
      </c>
      <c r="H108" s="25" t="s">
        <v>482</v>
      </c>
      <c r="I108" s="17" t="s">
        <v>52</v>
      </c>
      <c r="J108" s="6">
        <v>46335</v>
      </c>
      <c r="K108" s="6">
        <v>46339</v>
      </c>
      <c r="L108" s="7" t="s">
        <v>537</v>
      </c>
      <c r="M108" s="7" t="s">
        <v>54</v>
      </c>
      <c r="N108" s="8" t="s">
        <v>544</v>
      </c>
    </row>
    <row r="109" spans="1:14" ht="44.1" customHeight="1" x14ac:dyDescent="0.25">
      <c r="A109" s="9" t="s">
        <v>545</v>
      </c>
      <c r="B109" s="12" t="s">
        <v>23</v>
      </c>
      <c r="C109" s="15" t="s">
        <v>46</v>
      </c>
      <c r="D109" s="12" t="s">
        <v>76</v>
      </c>
      <c r="E109" s="9" t="s">
        <v>48</v>
      </c>
      <c r="F109" s="10" t="s">
        <v>546</v>
      </c>
      <c r="G109" s="13" t="s">
        <v>547</v>
      </c>
      <c r="H109" s="24" t="s">
        <v>441</v>
      </c>
      <c r="I109" s="17" t="s">
        <v>52</v>
      </c>
      <c r="J109" s="11">
        <v>46336</v>
      </c>
      <c r="K109" s="11">
        <v>46339</v>
      </c>
      <c r="L109" s="12" t="s">
        <v>456</v>
      </c>
      <c r="M109" s="12" t="s">
        <v>54</v>
      </c>
      <c r="N109" s="13" t="s">
        <v>548</v>
      </c>
    </row>
  </sheetData>
  <autoFilter ref="A1:N10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3" customWidth="1"/>
    <col min="2" max="2" width="10" customWidth="1"/>
    <col min="3" max="3" width="44" customWidth="1"/>
    <col min="4" max="4" width="9" customWidth="1"/>
    <col min="5" max="5" width="15" customWidth="1"/>
    <col min="6" max="6" width="22" customWidth="1"/>
    <col min="7" max="8" width="26" customWidth="1"/>
  </cols>
  <sheetData>
    <row r="1" spans="1:8" ht="18" x14ac:dyDescent="0.25">
      <c r="A1" s="1" t="s">
        <v>549</v>
      </c>
    </row>
    <row r="2" spans="1:8" x14ac:dyDescent="0.25">
      <c r="A2" s="2" t="s">
        <v>550</v>
      </c>
    </row>
    <row r="4" spans="1:8" ht="30" customHeight="1" x14ac:dyDescent="0.25">
      <c r="A4" s="3" t="s">
        <v>36</v>
      </c>
      <c r="B4" s="3" t="s">
        <v>551</v>
      </c>
      <c r="C4" s="3" t="s">
        <v>552</v>
      </c>
      <c r="D4" s="3" t="s">
        <v>3</v>
      </c>
      <c r="E4" s="3" t="s">
        <v>34</v>
      </c>
      <c r="F4" s="3" t="s">
        <v>553</v>
      </c>
      <c r="G4" s="3" t="s">
        <v>554</v>
      </c>
      <c r="H4" s="3" t="s">
        <v>555</v>
      </c>
    </row>
    <row r="5" spans="1:8" ht="20.100000000000001" customHeight="1" x14ac:dyDescent="0.25">
      <c r="A5" s="4" t="s">
        <v>61</v>
      </c>
      <c r="B5" s="7" t="s">
        <v>556</v>
      </c>
      <c r="C5" s="5" t="s">
        <v>62</v>
      </c>
      <c r="D5" s="7" t="s">
        <v>9</v>
      </c>
      <c r="E5" s="7" t="s">
        <v>557</v>
      </c>
      <c r="F5" s="7" t="s">
        <v>558</v>
      </c>
      <c r="G5" s="8" t="s">
        <v>559</v>
      </c>
      <c r="H5" s="26" t="s">
        <v>560</v>
      </c>
    </row>
    <row r="6" spans="1:8" ht="20.100000000000001" customHeight="1" x14ac:dyDescent="0.25">
      <c r="A6" s="9" t="s">
        <v>108</v>
      </c>
      <c r="B6" s="12" t="s">
        <v>556</v>
      </c>
      <c r="C6" s="10" t="s">
        <v>561</v>
      </c>
      <c r="D6" s="12" t="s">
        <v>9</v>
      </c>
      <c r="E6" s="12" t="s">
        <v>562</v>
      </c>
      <c r="F6" s="12" t="s">
        <v>563</v>
      </c>
      <c r="G6" s="13" t="s">
        <v>564</v>
      </c>
      <c r="H6" s="27" t="s">
        <v>565</v>
      </c>
    </row>
    <row r="7" spans="1:8" ht="20.100000000000001" customHeight="1" x14ac:dyDescent="0.25">
      <c r="A7" s="4" t="s">
        <v>151</v>
      </c>
      <c r="B7" s="7" t="s">
        <v>556</v>
      </c>
      <c r="C7" s="5" t="s">
        <v>566</v>
      </c>
      <c r="D7" s="7" t="s">
        <v>9</v>
      </c>
      <c r="E7" s="7" t="s">
        <v>567</v>
      </c>
      <c r="F7" s="7" t="s">
        <v>568</v>
      </c>
      <c r="G7" s="8" t="s">
        <v>569</v>
      </c>
      <c r="H7" s="26" t="s">
        <v>570</v>
      </c>
    </row>
    <row r="8" spans="1:8" ht="20.100000000000001" customHeight="1" x14ac:dyDescent="0.25">
      <c r="A8" s="9" t="s">
        <v>71</v>
      </c>
      <c r="B8" s="12" t="s">
        <v>556</v>
      </c>
      <c r="C8" s="10" t="s">
        <v>72</v>
      </c>
      <c r="D8" s="12" t="s">
        <v>9</v>
      </c>
      <c r="E8" s="12" t="s">
        <v>557</v>
      </c>
      <c r="F8" s="12" t="s">
        <v>571</v>
      </c>
      <c r="G8" s="13" t="s">
        <v>572</v>
      </c>
      <c r="H8" s="26" t="s">
        <v>560</v>
      </c>
    </row>
    <row r="9" spans="1:8" ht="20.100000000000001" customHeight="1" x14ac:dyDescent="0.25">
      <c r="A9" s="4" t="s">
        <v>131</v>
      </c>
      <c r="B9" s="7" t="s">
        <v>556</v>
      </c>
      <c r="C9" s="5" t="s">
        <v>573</v>
      </c>
      <c r="D9" s="7" t="s">
        <v>9</v>
      </c>
      <c r="E9" s="7" t="s">
        <v>574</v>
      </c>
      <c r="F9" s="7" t="s">
        <v>575</v>
      </c>
      <c r="G9" s="8" t="s">
        <v>576</v>
      </c>
      <c r="H9" s="26" t="s">
        <v>577</v>
      </c>
    </row>
    <row r="10" spans="1:8" ht="20.100000000000001" customHeight="1" x14ac:dyDescent="0.25">
      <c r="A10" s="9" t="s">
        <v>220</v>
      </c>
      <c r="B10" s="12" t="s">
        <v>578</v>
      </c>
      <c r="C10" s="10" t="s">
        <v>579</v>
      </c>
      <c r="D10" s="12" t="s">
        <v>14</v>
      </c>
      <c r="E10" s="12" t="s">
        <v>97</v>
      </c>
      <c r="F10" s="12" t="s">
        <v>47</v>
      </c>
      <c r="G10" s="13" t="s">
        <v>580</v>
      </c>
      <c r="H10" s="27" t="s">
        <v>565</v>
      </c>
    </row>
    <row r="11" spans="1:8" ht="20.100000000000001" customHeight="1" x14ac:dyDescent="0.25">
      <c r="A11" s="4" t="s">
        <v>225</v>
      </c>
      <c r="B11" s="7" t="s">
        <v>578</v>
      </c>
      <c r="C11" s="5" t="s">
        <v>581</v>
      </c>
      <c r="D11" s="7" t="s">
        <v>14</v>
      </c>
      <c r="E11" s="7" t="s">
        <v>97</v>
      </c>
      <c r="F11" s="7" t="s">
        <v>47</v>
      </c>
      <c r="G11" s="8" t="s">
        <v>582</v>
      </c>
      <c r="H11" s="26" t="s">
        <v>560</v>
      </c>
    </row>
    <row r="12" spans="1:8" ht="20.100000000000001" customHeight="1" x14ac:dyDescent="0.25">
      <c r="A12" s="9" t="s">
        <v>230</v>
      </c>
      <c r="B12" s="12" t="s">
        <v>578</v>
      </c>
      <c r="C12" s="10" t="s">
        <v>583</v>
      </c>
      <c r="D12" s="12" t="s">
        <v>14</v>
      </c>
      <c r="E12" s="12" t="s">
        <v>97</v>
      </c>
      <c r="F12" s="12" t="s">
        <v>137</v>
      </c>
      <c r="G12" s="13" t="s">
        <v>584</v>
      </c>
      <c r="H12" s="27" t="s">
        <v>565</v>
      </c>
    </row>
    <row r="13" spans="1:8" ht="20.100000000000001" customHeight="1" x14ac:dyDescent="0.25">
      <c r="A13" s="4" t="s">
        <v>235</v>
      </c>
      <c r="B13" s="7" t="s">
        <v>578</v>
      </c>
      <c r="C13" s="5" t="s">
        <v>585</v>
      </c>
      <c r="D13" s="7" t="s">
        <v>14</v>
      </c>
      <c r="E13" s="7" t="s">
        <v>97</v>
      </c>
      <c r="F13" s="7" t="s">
        <v>137</v>
      </c>
      <c r="G13" s="8" t="s">
        <v>586</v>
      </c>
      <c r="H13" s="26" t="s">
        <v>560</v>
      </c>
    </row>
    <row r="14" spans="1:8" ht="20.100000000000001" customHeight="1" x14ac:dyDescent="0.25">
      <c r="A14" s="9" t="s">
        <v>261</v>
      </c>
      <c r="B14" s="12" t="s">
        <v>578</v>
      </c>
      <c r="C14" s="10" t="s">
        <v>587</v>
      </c>
      <c r="D14" s="12" t="s">
        <v>14</v>
      </c>
      <c r="E14" s="12" t="s">
        <v>136</v>
      </c>
      <c r="F14" s="12" t="s">
        <v>76</v>
      </c>
      <c r="G14" s="13" t="s">
        <v>260</v>
      </c>
      <c r="H14" s="28" t="s">
        <v>51</v>
      </c>
    </row>
    <row r="15" spans="1:8" ht="20.100000000000001" customHeight="1" x14ac:dyDescent="0.25">
      <c r="A15" s="4" t="s">
        <v>276</v>
      </c>
      <c r="B15" s="7" t="s">
        <v>578</v>
      </c>
      <c r="C15" s="5" t="s">
        <v>588</v>
      </c>
      <c r="D15" s="7" t="s">
        <v>14</v>
      </c>
      <c r="E15" s="7" t="s">
        <v>136</v>
      </c>
      <c r="F15" s="7" t="s">
        <v>76</v>
      </c>
      <c r="G15" s="8" t="s">
        <v>589</v>
      </c>
      <c r="H15" s="26" t="s">
        <v>560</v>
      </c>
    </row>
    <row r="16" spans="1:8" ht="20.100000000000001" customHeight="1" x14ac:dyDescent="0.25">
      <c r="A16" s="9" t="s">
        <v>281</v>
      </c>
      <c r="B16" s="12" t="s">
        <v>578</v>
      </c>
      <c r="C16" s="10" t="s">
        <v>590</v>
      </c>
      <c r="D16" s="12" t="s">
        <v>14</v>
      </c>
      <c r="E16" s="12" t="s">
        <v>136</v>
      </c>
      <c r="F16" s="12" t="s">
        <v>591</v>
      </c>
      <c r="G16" s="13" t="s">
        <v>592</v>
      </c>
      <c r="H16" s="26" t="s">
        <v>577</v>
      </c>
    </row>
    <row r="17" spans="1:8" ht="20.100000000000001" customHeight="1" x14ac:dyDescent="0.25">
      <c r="A17" s="4" t="s">
        <v>593</v>
      </c>
      <c r="B17" s="7" t="s">
        <v>578</v>
      </c>
      <c r="C17" s="5" t="s">
        <v>594</v>
      </c>
      <c r="D17" s="7" t="s">
        <v>14</v>
      </c>
      <c r="E17" s="7" t="s">
        <v>136</v>
      </c>
      <c r="F17" s="7" t="s">
        <v>76</v>
      </c>
      <c r="G17" s="8" t="s">
        <v>265</v>
      </c>
      <c r="H17" s="28" t="s">
        <v>51</v>
      </c>
    </row>
    <row r="18" spans="1:8" ht="20.100000000000001" customHeight="1" x14ac:dyDescent="0.25">
      <c r="A18" s="9" t="s">
        <v>271</v>
      </c>
      <c r="B18" s="12" t="s">
        <v>578</v>
      </c>
      <c r="C18" s="10" t="s">
        <v>595</v>
      </c>
      <c r="D18" s="12" t="s">
        <v>14</v>
      </c>
      <c r="E18" s="12" t="s">
        <v>136</v>
      </c>
      <c r="F18" s="12" t="s">
        <v>156</v>
      </c>
      <c r="G18" s="13" t="s">
        <v>596</v>
      </c>
      <c r="H18" s="27" t="s">
        <v>565</v>
      </c>
    </row>
    <row r="19" spans="1:8" ht="20.100000000000001" customHeight="1" x14ac:dyDescent="0.25">
      <c r="A19" s="4" t="s">
        <v>173</v>
      </c>
      <c r="B19" s="7" t="s">
        <v>597</v>
      </c>
      <c r="C19" s="5" t="s">
        <v>598</v>
      </c>
      <c r="D19" s="7" t="s">
        <v>14</v>
      </c>
      <c r="E19" s="7" t="s">
        <v>46</v>
      </c>
      <c r="F19" s="7" t="s">
        <v>98</v>
      </c>
      <c r="G19" s="8" t="s">
        <v>172</v>
      </c>
      <c r="H19" s="28" t="s">
        <v>101</v>
      </c>
    </row>
    <row r="20" spans="1:8" ht="20.100000000000001" customHeight="1" x14ac:dyDescent="0.25">
      <c r="A20" s="9" t="s">
        <v>188</v>
      </c>
      <c r="B20" s="12" t="s">
        <v>597</v>
      </c>
      <c r="C20" s="10" t="s">
        <v>599</v>
      </c>
      <c r="D20" s="12" t="s">
        <v>14</v>
      </c>
      <c r="E20" s="12" t="s">
        <v>46</v>
      </c>
      <c r="F20" s="12" t="s">
        <v>98</v>
      </c>
      <c r="G20" s="13" t="s">
        <v>600</v>
      </c>
      <c r="H20" s="26" t="s">
        <v>560</v>
      </c>
    </row>
    <row r="21" spans="1:8" ht="20.100000000000001" customHeight="1" x14ac:dyDescent="0.25">
      <c r="A21" s="4" t="s">
        <v>601</v>
      </c>
      <c r="B21" s="7" t="s">
        <v>597</v>
      </c>
      <c r="C21" s="5" t="s">
        <v>602</v>
      </c>
      <c r="D21" s="7" t="s">
        <v>14</v>
      </c>
      <c r="E21" s="7" t="s">
        <v>46</v>
      </c>
      <c r="F21" s="7" t="s">
        <v>98</v>
      </c>
      <c r="G21" s="8" t="s">
        <v>177</v>
      </c>
      <c r="H21" s="28" t="s">
        <v>51</v>
      </c>
    </row>
    <row r="22" spans="1:8" ht="20.100000000000001" customHeight="1" x14ac:dyDescent="0.25">
      <c r="A22" s="9" t="s">
        <v>183</v>
      </c>
      <c r="B22" s="12" t="s">
        <v>597</v>
      </c>
      <c r="C22" s="10" t="s">
        <v>603</v>
      </c>
      <c r="D22" s="12" t="s">
        <v>14</v>
      </c>
      <c r="E22" s="12" t="s">
        <v>46</v>
      </c>
      <c r="F22" s="12" t="s">
        <v>98</v>
      </c>
      <c r="G22" s="13" t="s">
        <v>604</v>
      </c>
      <c r="H22" s="26" t="s">
        <v>560</v>
      </c>
    </row>
    <row r="23" spans="1:8" ht="20.100000000000001" customHeight="1" x14ac:dyDescent="0.25">
      <c r="A23" s="4" t="s">
        <v>209</v>
      </c>
      <c r="B23" s="7" t="s">
        <v>597</v>
      </c>
      <c r="C23" s="5" t="s">
        <v>210</v>
      </c>
      <c r="D23" s="7" t="s">
        <v>14</v>
      </c>
      <c r="E23" s="7" t="s">
        <v>46</v>
      </c>
      <c r="F23" s="7" t="s">
        <v>117</v>
      </c>
      <c r="G23" s="8" t="s">
        <v>208</v>
      </c>
      <c r="H23" s="28" t="s">
        <v>51</v>
      </c>
    </row>
    <row r="24" spans="1:8" ht="20.100000000000001" customHeight="1" x14ac:dyDescent="0.25">
      <c r="A24" s="9" t="s">
        <v>215</v>
      </c>
      <c r="B24" s="12" t="s">
        <v>597</v>
      </c>
      <c r="C24" s="10" t="s">
        <v>216</v>
      </c>
      <c r="D24" s="12" t="s">
        <v>14</v>
      </c>
      <c r="E24" s="12" t="s">
        <v>46</v>
      </c>
      <c r="F24" s="12" t="s">
        <v>117</v>
      </c>
      <c r="G24" s="13" t="s">
        <v>214</v>
      </c>
      <c r="H24" s="28" t="s">
        <v>51</v>
      </c>
    </row>
    <row r="25" spans="1:8" ht="20.100000000000001" customHeight="1" x14ac:dyDescent="0.25">
      <c r="A25" s="4" t="s">
        <v>302</v>
      </c>
      <c r="B25" s="7" t="s">
        <v>597</v>
      </c>
      <c r="C25" s="5" t="s">
        <v>605</v>
      </c>
      <c r="D25" s="7" t="s">
        <v>19</v>
      </c>
      <c r="E25" s="7" t="s">
        <v>46</v>
      </c>
      <c r="F25" s="7" t="s">
        <v>137</v>
      </c>
      <c r="G25" s="8" t="s">
        <v>301</v>
      </c>
      <c r="H25" s="28" t="s">
        <v>51</v>
      </c>
    </row>
    <row r="26" spans="1:8" ht="20.100000000000001" customHeight="1" x14ac:dyDescent="0.25">
      <c r="A26" s="9" t="s">
        <v>307</v>
      </c>
      <c r="B26" s="12" t="s">
        <v>597</v>
      </c>
      <c r="C26" s="10" t="s">
        <v>606</v>
      </c>
      <c r="D26" s="12" t="s">
        <v>19</v>
      </c>
      <c r="E26" s="12" t="s">
        <v>46</v>
      </c>
      <c r="F26" s="12" t="s">
        <v>137</v>
      </c>
      <c r="G26" s="13" t="s">
        <v>306</v>
      </c>
      <c r="H26" s="28" t="s">
        <v>51</v>
      </c>
    </row>
    <row r="27" spans="1:8" ht="20.100000000000001" customHeight="1" x14ac:dyDescent="0.25">
      <c r="A27" s="4" t="s">
        <v>312</v>
      </c>
      <c r="B27" s="7" t="s">
        <v>597</v>
      </c>
      <c r="C27" s="5" t="s">
        <v>607</v>
      </c>
      <c r="D27" s="7" t="s">
        <v>19</v>
      </c>
      <c r="E27" s="7" t="s">
        <v>46</v>
      </c>
      <c r="F27" s="7" t="s">
        <v>137</v>
      </c>
      <c r="G27" s="8" t="s">
        <v>608</v>
      </c>
      <c r="H27" s="28" t="s">
        <v>51</v>
      </c>
    </row>
    <row r="28" spans="1:8" ht="20.100000000000001" customHeight="1" x14ac:dyDescent="0.25">
      <c r="A28" s="9" t="s">
        <v>331</v>
      </c>
      <c r="B28" s="12" t="s">
        <v>597</v>
      </c>
      <c r="C28" s="10" t="s">
        <v>609</v>
      </c>
      <c r="D28" s="12" t="s">
        <v>19</v>
      </c>
      <c r="E28" s="12" t="s">
        <v>46</v>
      </c>
      <c r="F28" s="12" t="s">
        <v>156</v>
      </c>
      <c r="G28" s="13" t="s">
        <v>610</v>
      </c>
      <c r="H28" s="26" t="s">
        <v>560</v>
      </c>
    </row>
    <row r="29" spans="1:8" ht="20.100000000000001" customHeight="1" x14ac:dyDescent="0.25">
      <c r="A29" s="4" t="s">
        <v>326</v>
      </c>
      <c r="B29" s="7" t="s">
        <v>597</v>
      </c>
      <c r="C29" s="5" t="s">
        <v>611</v>
      </c>
      <c r="D29" s="7" t="s">
        <v>19</v>
      </c>
      <c r="E29" s="7" t="s">
        <v>46</v>
      </c>
      <c r="F29" s="7" t="s">
        <v>156</v>
      </c>
      <c r="G29" s="8" t="s">
        <v>612</v>
      </c>
      <c r="H29" s="26" t="s">
        <v>560</v>
      </c>
    </row>
    <row r="30" spans="1:8" ht="20.100000000000001" customHeight="1" x14ac:dyDescent="0.25">
      <c r="A30" s="9" t="s">
        <v>321</v>
      </c>
      <c r="B30" s="12" t="s">
        <v>597</v>
      </c>
      <c r="C30" s="10" t="s">
        <v>613</v>
      </c>
      <c r="D30" s="12" t="s">
        <v>19</v>
      </c>
      <c r="E30" s="12" t="s">
        <v>46</v>
      </c>
      <c r="F30" s="12" t="s">
        <v>614</v>
      </c>
      <c r="G30" s="13" t="s">
        <v>615</v>
      </c>
      <c r="H30" s="26" t="s">
        <v>560</v>
      </c>
    </row>
    <row r="31" spans="1:8" ht="20.100000000000001" customHeight="1" x14ac:dyDescent="0.25">
      <c r="A31" s="4" t="s">
        <v>364</v>
      </c>
      <c r="B31" s="7" t="s">
        <v>616</v>
      </c>
      <c r="C31" s="5" t="s">
        <v>617</v>
      </c>
      <c r="D31" s="7" t="s">
        <v>19</v>
      </c>
      <c r="E31" s="7" t="s">
        <v>97</v>
      </c>
      <c r="F31" s="7" t="s">
        <v>98</v>
      </c>
      <c r="G31" s="8" t="s">
        <v>618</v>
      </c>
      <c r="H31" s="27" t="s">
        <v>565</v>
      </c>
    </row>
    <row r="32" spans="1:8" ht="20.100000000000001" customHeight="1" x14ac:dyDescent="0.25">
      <c r="A32" s="9" t="s">
        <v>619</v>
      </c>
      <c r="B32" s="12" t="s">
        <v>616</v>
      </c>
      <c r="C32" s="10" t="s">
        <v>620</v>
      </c>
      <c r="D32" s="12" t="s">
        <v>19</v>
      </c>
      <c r="E32" s="12" t="s">
        <v>97</v>
      </c>
      <c r="F32" s="12" t="s">
        <v>98</v>
      </c>
      <c r="G32" s="13" t="s">
        <v>348</v>
      </c>
      <c r="H32" s="28" t="s">
        <v>51</v>
      </c>
    </row>
    <row r="33" spans="1:8" ht="20.100000000000001" customHeight="1" x14ac:dyDescent="0.25">
      <c r="A33" s="4" t="s">
        <v>373</v>
      </c>
      <c r="B33" s="7" t="s">
        <v>616</v>
      </c>
      <c r="C33" s="5" t="s">
        <v>621</v>
      </c>
      <c r="D33" s="7" t="s">
        <v>19</v>
      </c>
      <c r="E33" s="7" t="s">
        <v>97</v>
      </c>
      <c r="F33" s="7" t="s">
        <v>76</v>
      </c>
      <c r="G33" s="8" t="s">
        <v>372</v>
      </c>
      <c r="H33" s="28" t="s">
        <v>140</v>
      </c>
    </row>
    <row r="34" spans="1:8" ht="20.100000000000001" customHeight="1" x14ac:dyDescent="0.25">
      <c r="A34" s="9" t="s">
        <v>382</v>
      </c>
      <c r="B34" s="12" t="s">
        <v>616</v>
      </c>
      <c r="C34" s="10" t="s">
        <v>622</v>
      </c>
      <c r="D34" s="12" t="s">
        <v>19</v>
      </c>
      <c r="E34" s="12" t="s">
        <v>97</v>
      </c>
      <c r="F34" s="12" t="s">
        <v>98</v>
      </c>
      <c r="G34" s="13" t="s">
        <v>623</v>
      </c>
      <c r="H34" s="26" t="s">
        <v>560</v>
      </c>
    </row>
    <row r="35" spans="1:8" ht="20.100000000000001" customHeight="1" x14ac:dyDescent="0.25">
      <c r="A35" s="4" t="s">
        <v>624</v>
      </c>
      <c r="B35" s="7" t="s">
        <v>616</v>
      </c>
      <c r="C35" s="5" t="s">
        <v>625</v>
      </c>
      <c r="D35" s="7" t="s">
        <v>19</v>
      </c>
      <c r="E35" s="7" t="s">
        <v>97</v>
      </c>
      <c r="F35" s="7" t="s">
        <v>98</v>
      </c>
      <c r="G35" s="8" t="s">
        <v>358</v>
      </c>
      <c r="H35" s="28" t="s">
        <v>51</v>
      </c>
    </row>
    <row r="36" spans="1:8" ht="20.100000000000001" customHeight="1" x14ac:dyDescent="0.25">
      <c r="A36" s="9" t="s">
        <v>626</v>
      </c>
      <c r="B36" s="12" t="s">
        <v>616</v>
      </c>
      <c r="C36" s="10" t="s">
        <v>627</v>
      </c>
      <c r="D36" s="12" t="s">
        <v>19</v>
      </c>
      <c r="E36" s="12" t="s">
        <v>97</v>
      </c>
      <c r="F36" s="12" t="s">
        <v>76</v>
      </c>
      <c r="G36" s="13" t="s">
        <v>628</v>
      </c>
      <c r="H36" s="26" t="s">
        <v>570</v>
      </c>
    </row>
    <row r="37" spans="1:8" ht="20.100000000000001" customHeight="1" x14ac:dyDescent="0.25">
      <c r="A37" s="4" t="s">
        <v>629</v>
      </c>
      <c r="B37" s="7" t="s">
        <v>616</v>
      </c>
      <c r="C37" s="5" t="s">
        <v>630</v>
      </c>
      <c r="D37" s="7" t="s">
        <v>19</v>
      </c>
      <c r="E37" s="7" t="s">
        <v>97</v>
      </c>
      <c r="F37" s="7" t="s">
        <v>76</v>
      </c>
      <c r="G37" s="8" t="s">
        <v>628</v>
      </c>
      <c r="H37" s="26" t="s">
        <v>570</v>
      </c>
    </row>
    <row r="38" spans="1:8" ht="20.100000000000001" customHeight="1" x14ac:dyDescent="0.25">
      <c r="A38" s="9" t="s">
        <v>631</v>
      </c>
      <c r="B38" s="12" t="s">
        <v>616</v>
      </c>
      <c r="C38" s="10" t="s">
        <v>632</v>
      </c>
      <c r="D38" s="12" t="s">
        <v>19</v>
      </c>
      <c r="E38" s="12" t="s">
        <v>97</v>
      </c>
      <c r="F38" s="12" t="s">
        <v>76</v>
      </c>
      <c r="G38" s="13" t="s">
        <v>628</v>
      </c>
      <c r="H38" s="26" t="s">
        <v>570</v>
      </c>
    </row>
    <row r="39" spans="1:8" ht="20.100000000000001" customHeight="1" x14ac:dyDescent="0.25">
      <c r="A39" s="4" t="s">
        <v>387</v>
      </c>
      <c r="B39" s="7" t="s">
        <v>616</v>
      </c>
      <c r="C39" s="5" t="s">
        <v>388</v>
      </c>
      <c r="D39" s="7" t="s">
        <v>19</v>
      </c>
      <c r="E39" s="7" t="s">
        <v>97</v>
      </c>
      <c r="F39" s="7" t="s">
        <v>76</v>
      </c>
      <c r="G39" s="8" t="s">
        <v>386</v>
      </c>
      <c r="H39" s="28" t="s">
        <v>101</v>
      </c>
    </row>
    <row r="40" spans="1:8" ht="20.100000000000001" customHeight="1" x14ac:dyDescent="0.25">
      <c r="A40" s="9" t="s">
        <v>407</v>
      </c>
      <c r="B40" s="12" t="s">
        <v>633</v>
      </c>
      <c r="C40" s="10" t="s">
        <v>634</v>
      </c>
      <c r="D40" s="12" t="s">
        <v>19</v>
      </c>
      <c r="E40" s="12" t="s">
        <v>136</v>
      </c>
      <c r="F40" s="12" t="s">
        <v>47</v>
      </c>
      <c r="G40" s="13" t="s">
        <v>635</v>
      </c>
      <c r="H40" s="26" t="s">
        <v>577</v>
      </c>
    </row>
    <row r="41" spans="1:8" ht="20.100000000000001" customHeight="1" x14ac:dyDescent="0.25">
      <c r="A41" s="4" t="s">
        <v>412</v>
      </c>
      <c r="B41" s="7" t="s">
        <v>633</v>
      </c>
      <c r="C41" s="5" t="s">
        <v>636</v>
      </c>
      <c r="D41" s="7" t="s">
        <v>19</v>
      </c>
      <c r="E41" s="7" t="s">
        <v>136</v>
      </c>
      <c r="F41" s="7" t="s">
        <v>47</v>
      </c>
      <c r="G41" s="8" t="s">
        <v>411</v>
      </c>
      <c r="H41" s="28" t="s">
        <v>101</v>
      </c>
    </row>
    <row r="42" spans="1:8" ht="20.100000000000001" customHeight="1" x14ac:dyDescent="0.25">
      <c r="A42" s="9" t="s">
        <v>392</v>
      </c>
      <c r="B42" s="12" t="s">
        <v>633</v>
      </c>
      <c r="C42" s="10" t="s">
        <v>637</v>
      </c>
      <c r="D42" s="12" t="s">
        <v>19</v>
      </c>
      <c r="E42" s="12" t="s">
        <v>136</v>
      </c>
      <c r="F42" s="12" t="s">
        <v>117</v>
      </c>
      <c r="G42" s="13" t="s">
        <v>391</v>
      </c>
      <c r="H42" s="28" t="s">
        <v>51</v>
      </c>
    </row>
    <row r="43" spans="1:8" ht="20.100000000000001" customHeight="1" x14ac:dyDescent="0.25">
      <c r="A43" s="4" t="s">
        <v>397</v>
      </c>
      <c r="B43" s="7" t="s">
        <v>633</v>
      </c>
      <c r="C43" s="5" t="s">
        <v>638</v>
      </c>
      <c r="D43" s="7" t="s">
        <v>19</v>
      </c>
      <c r="E43" s="7" t="s">
        <v>136</v>
      </c>
      <c r="F43" s="7" t="s">
        <v>117</v>
      </c>
      <c r="G43" s="8" t="s">
        <v>639</v>
      </c>
      <c r="H43" s="26" t="s">
        <v>570</v>
      </c>
    </row>
    <row r="44" spans="1:8" ht="20.100000000000001" customHeight="1" x14ac:dyDescent="0.25">
      <c r="A44" s="9" t="s">
        <v>417</v>
      </c>
      <c r="B44" s="12" t="s">
        <v>633</v>
      </c>
      <c r="C44" s="10" t="s">
        <v>640</v>
      </c>
      <c r="D44" s="12" t="s">
        <v>19</v>
      </c>
      <c r="E44" s="12" t="s">
        <v>136</v>
      </c>
      <c r="F44" s="12" t="s">
        <v>47</v>
      </c>
      <c r="G44" s="13" t="s">
        <v>416</v>
      </c>
      <c r="H44" s="28" t="s">
        <v>101</v>
      </c>
    </row>
    <row r="45" spans="1:8" ht="20.100000000000001" customHeight="1" x14ac:dyDescent="0.25">
      <c r="A45" s="4" t="s">
        <v>520</v>
      </c>
      <c r="B45" s="7" t="s">
        <v>633</v>
      </c>
      <c r="C45" s="5" t="s">
        <v>641</v>
      </c>
      <c r="D45" s="7" t="s">
        <v>23</v>
      </c>
      <c r="E45" s="7" t="s">
        <v>136</v>
      </c>
      <c r="F45" s="7" t="s">
        <v>137</v>
      </c>
      <c r="G45" s="8" t="s">
        <v>519</v>
      </c>
      <c r="H45" s="28" t="s">
        <v>101</v>
      </c>
    </row>
    <row r="46" spans="1:8" ht="20.100000000000001" customHeight="1" x14ac:dyDescent="0.25">
      <c r="A46" s="9" t="s">
        <v>402</v>
      </c>
      <c r="B46" s="12" t="s">
        <v>633</v>
      </c>
      <c r="C46" s="10" t="s">
        <v>642</v>
      </c>
      <c r="D46" s="12" t="s">
        <v>19</v>
      </c>
      <c r="E46" s="12" t="s">
        <v>136</v>
      </c>
      <c r="F46" s="12" t="s">
        <v>117</v>
      </c>
      <c r="G46" s="13" t="s">
        <v>401</v>
      </c>
      <c r="H46" s="28" t="s">
        <v>51</v>
      </c>
    </row>
    <row r="47" spans="1:8" ht="20.100000000000001" customHeight="1" x14ac:dyDescent="0.25">
      <c r="A47" s="4" t="s">
        <v>643</v>
      </c>
      <c r="B47" s="7" t="s">
        <v>633</v>
      </c>
      <c r="C47" s="5" t="s">
        <v>644</v>
      </c>
      <c r="D47" s="7" t="s">
        <v>23</v>
      </c>
      <c r="E47" s="7" t="s">
        <v>136</v>
      </c>
      <c r="F47" s="7" t="s">
        <v>137</v>
      </c>
      <c r="G47" s="8" t="s">
        <v>524</v>
      </c>
      <c r="H47" s="28" t="s">
        <v>101</v>
      </c>
    </row>
    <row r="48" spans="1:8" ht="20.100000000000001" customHeight="1" x14ac:dyDescent="0.25">
      <c r="A48" s="9" t="s">
        <v>645</v>
      </c>
      <c r="B48" s="12" t="s">
        <v>633</v>
      </c>
      <c r="C48" s="10" t="s">
        <v>646</v>
      </c>
      <c r="D48" s="12" t="s">
        <v>23</v>
      </c>
      <c r="E48" s="12" t="s">
        <v>136</v>
      </c>
      <c r="F48" s="12" t="s">
        <v>137</v>
      </c>
      <c r="G48" s="13" t="s">
        <v>524</v>
      </c>
      <c r="H48" s="28" t="s">
        <v>101</v>
      </c>
    </row>
    <row r="49" spans="1:8" ht="20.100000000000001" customHeight="1" x14ac:dyDescent="0.25">
      <c r="A49" s="4" t="s">
        <v>430</v>
      </c>
      <c r="B49" s="7" t="s">
        <v>647</v>
      </c>
      <c r="C49" s="5" t="s">
        <v>648</v>
      </c>
      <c r="D49" s="7" t="s">
        <v>23</v>
      </c>
      <c r="E49" s="7" t="s">
        <v>46</v>
      </c>
      <c r="F49" s="7" t="s">
        <v>649</v>
      </c>
      <c r="G49" s="8" t="s">
        <v>650</v>
      </c>
      <c r="H49" s="28" t="s">
        <v>51</v>
      </c>
    </row>
    <row r="50" spans="1:8" ht="20.100000000000001" customHeight="1" x14ac:dyDescent="0.25">
      <c r="A50" s="9" t="s">
        <v>465</v>
      </c>
      <c r="B50" s="12" t="s">
        <v>647</v>
      </c>
      <c r="C50" s="10" t="s">
        <v>651</v>
      </c>
      <c r="D50" s="12" t="s">
        <v>23</v>
      </c>
      <c r="E50" s="12" t="s">
        <v>97</v>
      </c>
      <c r="F50" s="12" t="s">
        <v>117</v>
      </c>
      <c r="G50" s="13" t="s">
        <v>652</v>
      </c>
      <c r="H50" s="26" t="s">
        <v>577</v>
      </c>
    </row>
    <row r="51" spans="1:8" ht="20.100000000000001" customHeight="1" x14ac:dyDescent="0.25">
      <c r="A51" s="4" t="s">
        <v>470</v>
      </c>
      <c r="B51" s="7" t="s">
        <v>647</v>
      </c>
      <c r="C51" s="5" t="s">
        <v>653</v>
      </c>
      <c r="D51" s="7" t="s">
        <v>23</v>
      </c>
      <c r="E51" s="7" t="s">
        <v>97</v>
      </c>
      <c r="F51" s="7" t="s">
        <v>575</v>
      </c>
      <c r="G51" s="8" t="s">
        <v>654</v>
      </c>
      <c r="H51" s="26" t="s">
        <v>577</v>
      </c>
    </row>
    <row r="52" spans="1:8" ht="20.100000000000001" customHeight="1" x14ac:dyDescent="0.25">
      <c r="A52" s="9" t="s">
        <v>655</v>
      </c>
      <c r="B52" s="12" t="s">
        <v>647</v>
      </c>
      <c r="C52" s="10" t="s">
        <v>656</v>
      </c>
      <c r="D52" s="12" t="s">
        <v>23</v>
      </c>
      <c r="E52" s="12" t="s">
        <v>97</v>
      </c>
      <c r="F52" s="12" t="s">
        <v>156</v>
      </c>
      <c r="G52" s="13" t="s">
        <v>488</v>
      </c>
      <c r="H52" s="28" t="s">
        <v>140</v>
      </c>
    </row>
    <row r="53" spans="1:8" ht="20.100000000000001" customHeight="1" x14ac:dyDescent="0.25">
      <c r="A53" s="4" t="s">
        <v>452</v>
      </c>
      <c r="B53" s="7" t="s">
        <v>647</v>
      </c>
      <c r="C53" s="5" t="s">
        <v>657</v>
      </c>
      <c r="D53" s="7" t="s">
        <v>23</v>
      </c>
      <c r="E53" s="7" t="s">
        <v>557</v>
      </c>
      <c r="F53" s="7" t="s">
        <v>591</v>
      </c>
      <c r="G53" s="8" t="s">
        <v>658</v>
      </c>
      <c r="H53" s="26" t="s">
        <v>570</v>
      </c>
    </row>
    <row r="54" spans="1:8" ht="20.100000000000001" customHeight="1" x14ac:dyDescent="0.25">
      <c r="A54" s="9" t="s">
        <v>475</v>
      </c>
      <c r="B54" s="12" t="s">
        <v>647</v>
      </c>
      <c r="C54" s="10" t="s">
        <v>659</v>
      </c>
      <c r="D54" s="12" t="s">
        <v>23</v>
      </c>
      <c r="E54" s="12" t="s">
        <v>97</v>
      </c>
      <c r="F54" s="12" t="s">
        <v>156</v>
      </c>
      <c r="G54" s="13" t="s">
        <v>474</v>
      </c>
      <c r="H54" s="28" t="s">
        <v>101</v>
      </c>
    </row>
    <row r="55" spans="1:8" ht="20.100000000000001" customHeight="1" x14ac:dyDescent="0.25">
      <c r="A55" s="4" t="s">
        <v>502</v>
      </c>
      <c r="B55" s="7" t="s">
        <v>647</v>
      </c>
      <c r="C55" s="5" t="s">
        <v>660</v>
      </c>
      <c r="D55" s="7" t="s">
        <v>23</v>
      </c>
      <c r="E55" s="7" t="s">
        <v>136</v>
      </c>
      <c r="F55" s="7" t="s">
        <v>98</v>
      </c>
      <c r="G55" s="8" t="s">
        <v>661</v>
      </c>
      <c r="H55" s="27" t="s">
        <v>565</v>
      </c>
    </row>
    <row r="56" spans="1:8" ht="20.100000000000001" customHeight="1" x14ac:dyDescent="0.25">
      <c r="A56" s="9" t="s">
        <v>507</v>
      </c>
      <c r="B56" s="12" t="s">
        <v>647</v>
      </c>
      <c r="C56" s="10" t="s">
        <v>662</v>
      </c>
      <c r="D56" s="12" t="s">
        <v>23</v>
      </c>
      <c r="E56" s="12" t="s">
        <v>136</v>
      </c>
      <c r="F56" s="12" t="s">
        <v>98</v>
      </c>
      <c r="G56" s="13" t="s">
        <v>506</v>
      </c>
      <c r="H56" s="28" t="s">
        <v>51</v>
      </c>
    </row>
    <row r="59" spans="1:8" x14ac:dyDescent="0.25">
      <c r="A59" s="41" t="s">
        <v>663</v>
      </c>
      <c r="B59" s="40"/>
      <c r="C59" s="40"/>
      <c r="D59" s="40"/>
      <c r="E59" s="40"/>
      <c r="F59" s="40"/>
      <c r="G59" s="40"/>
      <c r="H59" s="40"/>
    </row>
  </sheetData>
  <mergeCells count="1">
    <mergeCell ref="A59:H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0" customWidth="1"/>
    <col min="2" max="2" width="18" customWidth="1"/>
    <col min="3" max="3" width="28" customWidth="1"/>
    <col min="4" max="5" width="25" customWidth="1"/>
    <col min="6" max="6" width="10" customWidth="1"/>
    <col min="7" max="7" width="8" customWidth="1"/>
    <col min="8" max="9" width="9" customWidth="1"/>
    <col min="10" max="10" width="7" customWidth="1"/>
    <col min="11" max="11" width="8" customWidth="1"/>
  </cols>
  <sheetData>
    <row r="1" spans="1:11" ht="18" x14ac:dyDescent="0.25">
      <c r="A1" s="1" t="s">
        <v>664</v>
      </c>
    </row>
    <row r="2" spans="1:11" x14ac:dyDescent="0.25">
      <c r="A2" s="2" t="s">
        <v>665</v>
      </c>
    </row>
    <row r="4" spans="1:11" ht="30" customHeight="1" x14ac:dyDescent="0.25">
      <c r="A4" s="3" t="s">
        <v>35</v>
      </c>
      <c r="B4" s="3" t="s">
        <v>666</v>
      </c>
      <c r="C4" s="3" t="s">
        <v>667</v>
      </c>
      <c r="D4" s="3" t="s">
        <v>668</v>
      </c>
      <c r="E4" s="3" t="s">
        <v>669</v>
      </c>
      <c r="F4" s="3" t="s">
        <v>51</v>
      </c>
      <c r="G4" s="3" t="s">
        <v>101</v>
      </c>
      <c r="H4" s="3" t="s">
        <v>140</v>
      </c>
      <c r="I4" s="3" t="s">
        <v>670</v>
      </c>
      <c r="J4" s="3" t="s">
        <v>482</v>
      </c>
      <c r="K4" s="3" t="s">
        <v>671</v>
      </c>
    </row>
    <row r="5" spans="1:11" ht="33.950000000000003" customHeight="1" x14ac:dyDescent="0.25">
      <c r="A5" s="5" t="s">
        <v>47</v>
      </c>
      <c r="B5" s="15" t="s">
        <v>672</v>
      </c>
      <c r="C5" s="18" t="s">
        <v>673</v>
      </c>
      <c r="D5" s="21" t="s">
        <v>674</v>
      </c>
      <c r="E5" s="15" t="s">
        <v>675</v>
      </c>
      <c r="F5" s="4">
        <v>9</v>
      </c>
      <c r="G5" s="4">
        <v>4</v>
      </c>
      <c r="H5" s="4">
        <v>2</v>
      </c>
      <c r="I5" s="4">
        <v>2</v>
      </c>
      <c r="J5" s="4">
        <v>1</v>
      </c>
      <c r="K5" s="4">
        <v>18</v>
      </c>
    </row>
    <row r="6" spans="1:11" ht="33.950000000000003" customHeight="1" x14ac:dyDescent="0.25">
      <c r="A6" s="10" t="s">
        <v>98</v>
      </c>
      <c r="B6" s="12" t="s">
        <v>676</v>
      </c>
      <c r="C6" s="12" t="s">
        <v>677</v>
      </c>
      <c r="D6" s="12" t="s">
        <v>673</v>
      </c>
      <c r="E6" s="12" t="s">
        <v>678</v>
      </c>
      <c r="F6" s="9">
        <v>6</v>
      </c>
      <c r="G6" s="9">
        <v>10</v>
      </c>
      <c r="H6" s="9">
        <v>2</v>
      </c>
      <c r="I6" s="9">
        <v>0</v>
      </c>
      <c r="J6" s="9">
        <v>0</v>
      </c>
      <c r="K6" s="9">
        <v>18</v>
      </c>
    </row>
    <row r="7" spans="1:11" ht="33.950000000000003" customHeight="1" x14ac:dyDescent="0.25">
      <c r="A7" s="5" t="s">
        <v>76</v>
      </c>
      <c r="B7" s="15" t="s">
        <v>672</v>
      </c>
      <c r="C7" s="21" t="s">
        <v>678</v>
      </c>
      <c r="D7" s="18" t="s">
        <v>679</v>
      </c>
      <c r="E7" s="15" t="s">
        <v>680</v>
      </c>
      <c r="F7" s="4">
        <v>10</v>
      </c>
      <c r="G7" s="4">
        <v>3</v>
      </c>
      <c r="H7" s="4">
        <v>3</v>
      </c>
      <c r="I7" s="4">
        <v>3</v>
      </c>
      <c r="J7" s="4">
        <v>1</v>
      </c>
      <c r="K7" s="4">
        <v>20</v>
      </c>
    </row>
    <row r="8" spans="1:11" ht="33.950000000000003" customHeight="1" x14ac:dyDescent="0.25">
      <c r="A8" s="10" t="s">
        <v>137</v>
      </c>
      <c r="B8" s="12" t="s">
        <v>681</v>
      </c>
      <c r="C8" s="12" t="s">
        <v>673</v>
      </c>
      <c r="D8" s="12" t="s">
        <v>672</v>
      </c>
      <c r="E8" s="12" t="s">
        <v>682</v>
      </c>
      <c r="F8" s="9">
        <v>7</v>
      </c>
      <c r="G8" s="9">
        <v>4</v>
      </c>
      <c r="H8" s="9">
        <v>5</v>
      </c>
      <c r="I8" s="9">
        <v>1</v>
      </c>
      <c r="J8" s="9">
        <v>1</v>
      </c>
      <c r="K8" s="9">
        <v>18</v>
      </c>
    </row>
    <row r="9" spans="1:11" ht="33.950000000000003" customHeight="1" x14ac:dyDescent="0.25">
      <c r="A9" s="5" t="s">
        <v>117</v>
      </c>
      <c r="B9" s="18" t="s">
        <v>676</v>
      </c>
      <c r="C9" s="15" t="s">
        <v>672</v>
      </c>
      <c r="D9" s="21" t="s">
        <v>683</v>
      </c>
      <c r="E9" s="18" t="s">
        <v>684</v>
      </c>
      <c r="F9" s="4">
        <v>8</v>
      </c>
      <c r="G9" s="4">
        <v>6</v>
      </c>
      <c r="H9" s="4">
        <v>2</v>
      </c>
      <c r="I9" s="4">
        <v>0</v>
      </c>
      <c r="J9" s="4">
        <v>1</v>
      </c>
      <c r="K9" s="4">
        <v>17</v>
      </c>
    </row>
    <row r="10" spans="1:11" ht="33.950000000000003" customHeight="1" x14ac:dyDescent="0.25">
      <c r="A10" s="10" t="s">
        <v>156</v>
      </c>
      <c r="B10" s="12" t="s">
        <v>681</v>
      </c>
      <c r="C10" s="12" t="s">
        <v>685</v>
      </c>
      <c r="D10" s="12" t="s">
        <v>686</v>
      </c>
      <c r="E10" s="12" t="s">
        <v>687</v>
      </c>
      <c r="F10" s="9">
        <v>4</v>
      </c>
      <c r="G10" s="9">
        <v>4</v>
      </c>
      <c r="H10" s="9">
        <v>8</v>
      </c>
      <c r="I10" s="9">
        <v>0</v>
      </c>
      <c r="J10" s="9">
        <v>1</v>
      </c>
      <c r="K10" s="9">
        <v>17</v>
      </c>
    </row>
    <row r="13" spans="1:11" x14ac:dyDescent="0.25">
      <c r="A13" s="14" t="s">
        <v>688</v>
      </c>
    </row>
    <row r="14" spans="1:11" ht="30" customHeight="1" x14ac:dyDescent="0.25">
      <c r="A14" s="3" t="s">
        <v>3</v>
      </c>
      <c r="B14" s="3" t="s">
        <v>34</v>
      </c>
      <c r="C14" s="3" t="s">
        <v>689</v>
      </c>
    </row>
    <row r="15" spans="1:11" x14ac:dyDescent="0.25">
      <c r="A15" s="7" t="s">
        <v>9</v>
      </c>
      <c r="B15" s="29" t="s">
        <v>46</v>
      </c>
      <c r="C15" s="7" t="s">
        <v>649</v>
      </c>
    </row>
    <row r="16" spans="1:11" x14ac:dyDescent="0.25">
      <c r="A16" s="12" t="s">
        <v>9</v>
      </c>
      <c r="B16" s="26" t="s">
        <v>97</v>
      </c>
      <c r="C16" s="12" t="s">
        <v>690</v>
      </c>
    </row>
    <row r="17" spans="1:3" x14ac:dyDescent="0.25">
      <c r="A17" s="7" t="s">
        <v>9</v>
      </c>
      <c r="B17" s="30" t="s">
        <v>136</v>
      </c>
      <c r="C17" s="7" t="s">
        <v>614</v>
      </c>
    </row>
    <row r="18" spans="1:3" x14ac:dyDescent="0.25">
      <c r="A18" s="12" t="s">
        <v>14</v>
      </c>
      <c r="B18" s="29" t="s">
        <v>46</v>
      </c>
      <c r="C18" s="12" t="s">
        <v>690</v>
      </c>
    </row>
    <row r="19" spans="1:3" x14ac:dyDescent="0.25">
      <c r="A19" s="7" t="s">
        <v>14</v>
      </c>
      <c r="B19" s="26" t="s">
        <v>97</v>
      </c>
      <c r="C19" s="7" t="s">
        <v>568</v>
      </c>
    </row>
    <row r="20" spans="1:3" x14ac:dyDescent="0.25">
      <c r="A20" s="12" t="s">
        <v>14</v>
      </c>
      <c r="B20" s="30" t="s">
        <v>136</v>
      </c>
      <c r="C20" s="12" t="s">
        <v>591</v>
      </c>
    </row>
    <row r="21" spans="1:3" x14ac:dyDescent="0.25">
      <c r="A21" s="7" t="s">
        <v>19</v>
      </c>
      <c r="B21" s="29" t="s">
        <v>46</v>
      </c>
      <c r="C21" s="7" t="s">
        <v>614</v>
      </c>
    </row>
    <row r="22" spans="1:3" x14ac:dyDescent="0.25">
      <c r="A22" s="12" t="s">
        <v>19</v>
      </c>
      <c r="B22" s="26" t="s">
        <v>97</v>
      </c>
      <c r="C22" s="12" t="s">
        <v>691</v>
      </c>
    </row>
    <row r="23" spans="1:3" x14ac:dyDescent="0.25">
      <c r="A23" s="7" t="s">
        <v>19</v>
      </c>
      <c r="B23" s="30" t="s">
        <v>136</v>
      </c>
      <c r="C23" s="7" t="s">
        <v>571</v>
      </c>
    </row>
    <row r="24" spans="1:3" x14ac:dyDescent="0.25">
      <c r="A24" s="12" t="s">
        <v>23</v>
      </c>
      <c r="B24" s="29" t="s">
        <v>46</v>
      </c>
      <c r="C24" s="12" t="s">
        <v>649</v>
      </c>
    </row>
    <row r="25" spans="1:3" x14ac:dyDescent="0.25">
      <c r="A25" s="7" t="s">
        <v>23</v>
      </c>
      <c r="B25" s="26" t="s">
        <v>97</v>
      </c>
      <c r="C25" s="7" t="s">
        <v>575</v>
      </c>
    </row>
    <row r="26" spans="1:3" x14ac:dyDescent="0.25">
      <c r="A26" s="12" t="s">
        <v>23</v>
      </c>
      <c r="B26" s="30" t="s">
        <v>136</v>
      </c>
      <c r="C26" s="12" t="s">
        <v>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workbookViewId="0">
      <pane ySplit="16" topLeftCell="A17" activePane="bottomLeft" state="frozen"/>
      <selection pane="bottomLeft"/>
    </sheetView>
  </sheetViews>
  <sheetFormatPr baseColWidth="10" defaultColWidth="9.140625" defaultRowHeight="15" x14ac:dyDescent="0.25"/>
  <cols>
    <col min="1" max="1" width="9" customWidth="1"/>
    <col min="2" max="2" width="34" customWidth="1"/>
    <col min="3" max="3" width="9" customWidth="1"/>
    <col min="4" max="4" width="12" customWidth="1"/>
    <col min="5" max="5" width="118" customWidth="1"/>
    <col min="6" max="6" width="22" customWidth="1"/>
    <col min="7" max="7" width="10" customWidth="1"/>
    <col min="8" max="8" width="78" customWidth="1"/>
  </cols>
  <sheetData>
    <row r="1" spans="1:8" ht="18" x14ac:dyDescent="0.25">
      <c r="A1" s="1" t="s">
        <v>693</v>
      </c>
    </row>
    <row r="2" spans="1:8" x14ac:dyDescent="0.25">
      <c r="A2" s="2" t="s">
        <v>694</v>
      </c>
    </row>
    <row r="4" spans="1:8" x14ac:dyDescent="0.25">
      <c r="A4" s="14" t="s">
        <v>695</v>
      </c>
    </row>
    <row r="5" spans="1:8" ht="20.100000000000001" customHeight="1" x14ac:dyDescent="0.25">
      <c r="A5" s="45" t="s">
        <v>696</v>
      </c>
      <c r="B5" s="44"/>
      <c r="C5" s="31">
        <v>8</v>
      </c>
      <c r="D5" s="43" t="s">
        <v>697</v>
      </c>
      <c r="E5" s="44"/>
      <c r="F5" s="44"/>
      <c r="G5" s="44"/>
    </row>
    <row r="6" spans="1:8" ht="20.100000000000001" customHeight="1" x14ac:dyDescent="0.25">
      <c r="A6" s="45" t="s">
        <v>698</v>
      </c>
      <c r="B6" s="44"/>
      <c r="C6" s="31">
        <v>52</v>
      </c>
      <c r="D6" s="43" t="s">
        <v>699</v>
      </c>
      <c r="E6" s="44"/>
      <c r="F6" s="44"/>
      <c r="G6" s="44"/>
    </row>
    <row r="7" spans="1:8" ht="20.100000000000001" customHeight="1" x14ac:dyDescent="0.25">
      <c r="A7" s="45" t="s">
        <v>700</v>
      </c>
      <c r="B7" s="44"/>
      <c r="C7" s="31">
        <v>20</v>
      </c>
      <c r="D7" s="43" t="s">
        <v>701</v>
      </c>
      <c r="E7" s="44"/>
      <c r="F7" s="44"/>
      <c r="G7" s="44"/>
    </row>
    <row r="8" spans="1:8" ht="20.100000000000001" customHeight="1" x14ac:dyDescent="0.25">
      <c r="A8" s="45" t="s">
        <v>702</v>
      </c>
      <c r="B8" s="44"/>
      <c r="C8" s="32">
        <v>28</v>
      </c>
      <c r="D8" s="43" t="s">
        <v>703</v>
      </c>
      <c r="E8" s="44"/>
      <c r="F8" s="44"/>
      <c r="G8" s="44"/>
    </row>
    <row r="9" spans="1:8" ht="20.100000000000001" customHeight="1" x14ac:dyDescent="0.25">
      <c r="A9" s="45" t="s">
        <v>704</v>
      </c>
      <c r="B9" s="44"/>
      <c r="C9" s="31">
        <v>11</v>
      </c>
      <c r="D9" s="43" t="s">
        <v>705</v>
      </c>
      <c r="E9" s="44"/>
      <c r="F9" s="44"/>
      <c r="G9" s="44"/>
    </row>
    <row r="10" spans="1:8" ht="20.100000000000001" customHeight="1" x14ac:dyDescent="0.25">
      <c r="A10" s="45" t="s">
        <v>706</v>
      </c>
      <c r="B10" s="44"/>
      <c r="C10" s="31">
        <v>8</v>
      </c>
      <c r="D10" s="43" t="s">
        <v>707</v>
      </c>
      <c r="E10" s="44"/>
      <c r="F10" s="44"/>
      <c r="G10" s="44"/>
    </row>
    <row r="11" spans="1:8" ht="20.100000000000001" customHeight="1" x14ac:dyDescent="0.25">
      <c r="A11" s="45" t="s">
        <v>708</v>
      </c>
      <c r="B11" s="44"/>
      <c r="C11" s="32">
        <v>7</v>
      </c>
      <c r="D11" s="43" t="s">
        <v>709</v>
      </c>
      <c r="E11" s="44"/>
      <c r="F11" s="44"/>
      <c r="G11" s="44"/>
    </row>
    <row r="12" spans="1:8" ht="20.100000000000001" customHeight="1" x14ac:dyDescent="0.25">
      <c r="A12" s="45" t="s">
        <v>710</v>
      </c>
      <c r="B12" s="44"/>
      <c r="C12" s="32">
        <v>2</v>
      </c>
      <c r="D12" s="43" t="s">
        <v>711</v>
      </c>
      <c r="E12" s="44"/>
      <c r="F12" s="44"/>
      <c r="G12" s="44"/>
    </row>
    <row r="14" spans="1:8" x14ac:dyDescent="0.25">
      <c r="A14" s="42" t="s">
        <v>712</v>
      </c>
      <c r="B14" s="40"/>
      <c r="C14" s="40"/>
      <c r="D14" s="40"/>
      <c r="E14" s="40"/>
      <c r="F14" s="40"/>
      <c r="G14" s="40"/>
    </row>
    <row r="16" spans="1:8" ht="30" customHeight="1" x14ac:dyDescent="0.25">
      <c r="A16" s="3" t="s">
        <v>33</v>
      </c>
      <c r="B16" s="3" t="s">
        <v>713</v>
      </c>
      <c r="C16" s="3" t="s">
        <v>714</v>
      </c>
      <c r="D16" s="3" t="s">
        <v>715</v>
      </c>
      <c r="E16" s="3" t="s">
        <v>716</v>
      </c>
      <c r="F16" s="3" t="s">
        <v>717</v>
      </c>
      <c r="G16" s="3" t="s">
        <v>718</v>
      </c>
      <c r="H16" s="3" t="s">
        <v>719</v>
      </c>
    </row>
    <row r="17" spans="1:8" ht="38.1" customHeight="1" x14ac:dyDescent="0.25">
      <c r="A17" s="4" t="s">
        <v>515</v>
      </c>
      <c r="B17" s="5" t="s">
        <v>516</v>
      </c>
      <c r="C17" s="7" t="s">
        <v>137</v>
      </c>
      <c r="D17" s="7" t="s">
        <v>479</v>
      </c>
      <c r="E17" s="7" t="s">
        <v>117</v>
      </c>
      <c r="F17" s="33" t="s">
        <v>720</v>
      </c>
      <c r="G17" s="17" t="s">
        <v>721</v>
      </c>
      <c r="H17" s="8" t="s">
        <v>722</v>
      </c>
    </row>
    <row r="18" spans="1:8" ht="38.1" customHeight="1" x14ac:dyDescent="0.25">
      <c r="A18" s="9" t="s">
        <v>142</v>
      </c>
      <c r="B18" s="10" t="s">
        <v>143</v>
      </c>
      <c r="C18" s="12" t="s">
        <v>137</v>
      </c>
      <c r="D18" s="12" t="s">
        <v>103</v>
      </c>
      <c r="E18" s="12" t="s">
        <v>98</v>
      </c>
      <c r="F18" s="33" t="s">
        <v>720</v>
      </c>
      <c r="G18" s="20" t="s">
        <v>723</v>
      </c>
      <c r="H18" s="13" t="s">
        <v>724</v>
      </c>
    </row>
    <row r="19" spans="1:8" ht="38.1" customHeight="1" x14ac:dyDescent="0.25">
      <c r="A19" s="4" t="s">
        <v>391</v>
      </c>
      <c r="B19" s="5" t="s">
        <v>393</v>
      </c>
      <c r="C19" s="7" t="s">
        <v>117</v>
      </c>
      <c r="D19" s="7" t="s">
        <v>316</v>
      </c>
      <c r="E19" s="7" t="s">
        <v>137</v>
      </c>
      <c r="F19" s="34" t="s">
        <v>725</v>
      </c>
      <c r="G19" s="17" t="s">
        <v>726</v>
      </c>
      <c r="H19" s="8" t="s">
        <v>722</v>
      </c>
    </row>
    <row r="20" spans="1:8" ht="38.1" customHeight="1" x14ac:dyDescent="0.25">
      <c r="A20" s="9" t="s">
        <v>474</v>
      </c>
      <c r="B20" s="10" t="s">
        <v>476</v>
      </c>
      <c r="C20" s="12" t="s">
        <v>156</v>
      </c>
      <c r="D20" s="12" t="s">
        <v>434</v>
      </c>
      <c r="E20" s="12" t="s">
        <v>47</v>
      </c>
      <c r="F20" s="34" t="s">
        <v>725</v>
      </c>
      <c r="G20" s="17" t="s">
        <v>727</v>
      </c>
      <c r="H20" s="13" t="s">
        <v>722</v>
      </c>
    </row>
    <row r="21" spans="1:8" ht="38.1" customHeight="1" x14ac:dyDescent="0.25">
      <c r="A21" s="4" t="s">
        <v>358</v>
      </c>
      <c r="B21" s="5" t="s">
        <v>360</v>
      </c>
      <c r="C21" s="7" t="s">
        <v>98</v>
      </c>
      <c r="D21" s="7" t="s">
        <v>306</v>
      </c>
      <c r="E21" s="7" t="s">
        <v>137</v>
      </c>
      <c r="F21" s="34" t="s">
        <v>725</v>
      </c>
      <c r="G21" s="20" t="s">
        <v>728</v>
      </c>
      <c r="H21" s="8" t="s">
        <v>722</v>
      </c>
    </row>
    <row r="22" spans="1:8" ht="38.1" customHeight="1" x14ac:dyDescent="0.25">
      <c r="A22" s="9" t="s">
        <v>464</v>
      </c>
      <c r="B22" s="10" t="s">
        <v>466</v>
      </c>
      <c r="C22" s="12" t="s">
        <v>117</v>
      </c>
      <c r="D22" s="12" t="s">
        <v>429</v>
      </c>
      <c r="E22" s="12" t="s">
        <v>47</v>
      </c>
      <c r="F22" s="34" t="s">
        <v>725</v>
      </c>
      <c r="G22" s="20" t="s">
        <v>728</v>
      </c>
      <c r="H22" s="13" t="s">
        <v>729</v>
      </c>
    </row>
    <row r="23" spans="1:8" ht="38.1" customHeight="1" x14ac:dyDescent="0.25">
      <c r="A23" s="4" t="s">
        <v>103</v>
      </c>
      <c r="B23" s="5" t="s">
        <v>104</v>
      </c>
      <c r="C23" s="7" t="s">
        <v>98</v>
      </c>
      <c r="D23" s="7" t="s">
        <v>45</v>
      </c>
      <c r="E23" s="7" t="s">
        <v>47</v>
      </c>
      <c r="F23" s="34" t="s">
        <v>725</v>
      </c>
      <c r="G23" s="35" t="s">
        <v>730</v>
      </c>
      <c r="H23" s="8" t="s">
        <v>731</v>
      </c>
    </row>
    <row r="24" spans="1:8" ht="38.1" customHeight="1" x14ac:dyDescent="0.25">
      <c r="A24" s="9" t="s">
        <v>493</v>
      </c>
      <c r="B24" s="10" t="s">
        <v>494</v>
      </c>
      <c r="C24" s="12" t="s">
        <v>156</v>
      </c>
      <c r="D24" s="12" t="s">
        <v>451</v>
      </c>
      <c r="E24" s="12" t="s">
        <v>76</v>
      </c>
      <c r="F24" s="34" t="s">
        <v>725</v>
      </c>
      <c r="G24" s="35" t="s">
        <v>730</v>
      </c>
      <c r="H24" s="13" t="s">
        <v>722</v>
      </c>
    </row>
    <row r="25" spans="1:8" ht="38.1" customHeight="1" x14ac:dyDescent="0.25">
      <c r="A25" s="4" t="s">
        <v>484</v>
      </c>
      <c r="B25" s="5" t="s">
        <v>485</v>
      </c>
      <c r="C25" s="7" t="s">
        <v>117</v>
      </c>
      <c r="D25" s="7" t="s">
        <v>429</v>
      </c>
      <c r="E25" s="7" t="s">
        <v>47</v>
      </c>
      <c r="F25" s="34" t="s">
        <v>725</v>
      </c>
      <c r="G25" s="35" t="s">
        <v>730</v>
      </c>
      <c r="H25" s="8" t="s">
        <v>732</v>
      </c>
    </row>
    <row r="26" spans="1:8" ht="38.1" customHeight="1" x14ac:dyDescent="0.25">
      <c r="A26" s="9" t="s">
        <v>340</v>
      </c>
      <c r="B26" s="10" t="s">
        <v>341</v>
      </c>
      <c r="C26" s="12" t="s">
        <v>156</v>
      </c>
      <c r="D26" s="12" t="s">
        <v>320</v>
      </c>
      <c r="E26" s="12" t="s">
        <v>137</v>
      </c>
      <c r="F26" s="36" t="s">
        <v>733</v>
      </c>
      <c r="G26" s="17" t="s">
        <v>727</v>
      </c>
      <c r="H26" s="13" t="s">
        <v>722</v>
      </c>
    </row>
    <row r="27" spans="1:8" ht="38.1" customHeight="1" x14ac:dyDescent="0.25">
      <c r="A27" s="4" t="s">
        <v>447</v>
      </c>
      <c r="B27" s="5" t="s">
        <v>448</v>
      </c>
      <c r="C27" s="7" t="s">
        <v>76</v>
      </c>
      <c r="D27" s="7" t="s">
        <v>434</v>
      </c>
      <c r="E27" s="7" t="s">
        <v>47</v>
      </c>
      <c r="F27" s="36" t="s">
        <v>733</v>
      </c>
      <c r="G27" s="17" t="s">
        <v>727</v>
      </c>
      <c r="H27" s="8" t="s">
        <v>722</v>
      </c>
    </row>
    <row r="28" spans="1:8" ht="38.1" customHeight="1" x14ac:dyDescent="0.25">
      <c r="A28" s="9" t="s">
        <v>456</v>
      </c>
      <c r="B28" s="10" t="s">
        <v>457</v>
      </c>
      <c r="C28" s="12" t="s">
        <v>76</v>
      </c>
      <c r="D28" s="12" t="s">
        <v>438</v>
      </c>
      <c r="E28" s="12" t="s">
        <v>47</v>
      </c>
      <c r="F28" s="36" t="s">
        <v>733</v>
      </c>
      <c r="G28" s="20" t="s">
        <v>723</v>
      </c>
      <c r="H28" s="13" t="s">
        <v>722</v>
      </c>
    </row>
    <row r="29" spans="1:8" ht="38.1" customHeight="1" x14ac:dyDescent="0.25">
      <c r="A29" s="4" t="s">
        <v>541</v>
      </c>
      <c r="B29" s="5" t="s">
        <v>542</v>
      </c>
      <c r="C29" s="7" t="s">
        <v>47</v>
      </c>
      <c r="D29" s="7" t="s">
        <v>537</v>
      </c>
      <c r="E29" s="7" t="s">
        <v>76</v>
      </c>
      <c r="F29" s="36" t="s">
        <v>733</v>
      </c>
      <c r="G29" s="20" t="s">
        <v>734</v>
      </c>
      <c r="H29" s="8" t="s">
        <v>722</v>
      </c>
    </row>
    <row r="30" spans="1:8" ht="38.1" customHeight="1" x14ac:dyDescent="0.25">
      <c r="A30" s="9" t="s">
        <v>208</v>
      </c>
      <c r="B30" s="10" t="s">
        <v>210</v>
      </c>
      <c r="C30" s="12" t="s">
        <v>117</v>
      </c>
      <c r="D30" s="12" t="s">
        <v>182</v>
      </c>
      <c r="E30" s="12" t="s">
        <v>98</v>
      </c>
      <c r="F30" s="36" t="s">
        <v>733</v>
      </c>
      <c r="G30" s="35" t="s">
        <v>730</v>
      </c>
      <c r="H30" s="13" t="s">
        <v>722</v>
      </c>
    </row>
    <row r="31" spans="1:8" ht="38.1" customHeight="1" x14ac:dyDescent="0.25">
      <c r="A31" s="4" t="s">
        <v>88</v>
      </c>
      <c r="B31" s="5" t="s">
        <v>89</v>
      </c>
      <c r="C31" s="7" t="s">
        <v>76</v>
      </c>
      <c r="D31" s="7" t="s">
        <v>56</v>
      </c>
      <c r="E31" s="7" t="s">
        <v>47</v>
      </c>
      <c r="F31" s="36" t="s">
        <v>733</v>
      </c>
      <c r="G31" s="35" t="s">
        <v>730</v>
      </c>
      <c r="H31" s="8" t="s">
        <v>722</v>
      </c>
    </row>
    <row r="32" spans="1:8" ht="38.1" customHeight="1" x14ac:dyDescent="0.25">
      <c r="A32" s="9" t="s">
        <v>214</v>
      </c>
      <c r="B32" s="10" t="s">
        <v>216</v>
      </c>
      <c r="C32" s="12" t="s">
        <v>117</v>
      </c>
      <c r="D32" s="12" t="s">
        <v>182</v>
      </c>
      <c r="E32" s="12" t="s">
        <v>98</v>
      </c>
      <c r="F32" s="36" t="s">
        <v>733</v>
      </c>
      <c r="G32" s="35" t="s">
        <v>730</v>
      </c>
      <c r="H32" s="13" t="s">
        <v>722</v>
      </c>
    </row>
    <row r="33" spans="1:8" ht="38.1" customHeight="1" x14ac:dyDescent="0.25">
      <c r="A33" s="4" t="s">
        <v>344</v>
      </c>
      <c r="B33" s="5" t="s">
        <v>345</v>
      </c>
      <c r="C33" s="7" t="s">
        <v>156</v>
      </c>
      <c r="D33" s="7" t="s">
        <v>301</v>
      </c>
      <c r="E33" s="7" t="s">
        <v>137</v>
      </c>
      <c r="F33" s="36" t="s">
        <v>733</v>
      </c>
      <c r="G33" s="35" t="s">
        <v>730</v>
      </c>
      <c r="H33" s="8" t="s">
        <v>722</v>
      </c>
    </row>
    <row r="34" spans="1:8" ht="38.1" customHeight="1" x14ac:dyDescent="0.25">
      <c r="A34" s="9" t="s">
        <v>488</v>
      </c>
      <c r="B34" s="10" t="s">
        <v>490</v>
      </c>
      <c r="C34" s="12" t="s">
        <v>156</v>
      </c>
      <c r="D34" s="12" t="s">
        <v>484</v>
      </c>
      <c r="E34" s="12" t="s">
        <v>117</v>
      </c>
      <c r="F34" s="36" t="s">
        <v>735</v>
      </c>
      <c r="G34" s="17" t="s">
        <v>721</v>
      </c>
      <c r="H34" s="13" t="s">
        <v>722</v>
      </c>
    </row>
    <row r="35" spans="1:8" ht="38.1" customHeight="1" x14ac:dyDescent="0.25">
      <c r="A35" s="4" t="s">
        <v>270</v>
      </c>
      <c r="B35" s="5" t="s">
        <v>272</v>
      </c>
      <c r="C35" s="7" t="s">
        <v>156</v>
      </c>
      <c r="D35" s="7" t="s">
        <v>265</v>
      </c>
      <c r="E35" s="7" t="s">
        <v>76</v>
      </c>
      <c r="F35" s="36" t="s">
        <v>735</v>
      </c>
      <c r="G35" s="17" t="s">
        <v>727</v>
      </c>
      <c r="H35" s="8" t="s">
        <v>722</v>
      </c>
    </row>
    <row r="36" spans="1:8" ht="38.1" customHeight="1" x14ac:dyDescent="0.25">
      <c r="A36" s="9" t="s">
        <v>229</v>
      </c>
      <c r="B36" s="10" t="s">
        <v>231</v>
      </c>
      <c r="C36" s="12" t="s">
        <v>137</v>
      </c>
      <c r="D36" s="12" t="s">
        <v>219</v>
      </c>
      <c r="E36" s="12" t="s">
        <v>47</v>
      </c>
      <c r="F36" s="36" t="s">
        <v>735</v>
      </c>
      <c r="G36" s="20" t="s">
        <v>723</v>
      </c>
      <c r="H36" s="13" t="s">
        <v>722</v>
      </c>
    </row>
    <row r="37" spans="1:8" ht="38.1" customHeight="1" x14ac:dyDescent="0.25">
      <c r="A37" s="4" t="s">
        <v>497</v>
      </c>
      <c r="B37" s="5" t="s">
        <v>498</v>
      </c>
      <c r="C37" s="7" t="s">
        <v>156</v>
      </c>
      <c r="D37" s="7" t="s">
        <v>484</v>
      </c>
      <c r="E37" s="7" t="s">
        <v>117</v>
      </c>
      <c r="F37" s="36" t="s">
        <v>735</v>
      </c>
      <c r="G37" s="20" t="s">
        <v>723</v>
      </c>
      <c r="H37" s="8" t="s">
        <v>722</v>
      </c>
    </row>
    <row r="38" spans="1:8" ht="38.1" customHeight="1" x14ac:dyDescent="0.25">
      <c r="A38" s="9" t="s">
        <v>164</v>
      </c>
      <c r="B38" s="10" t="s">
        <v>165</v>
      </c>
      <c r="C38" s="12" t="s">
        <v>156</v>
      </c>
      <c r="D38" s="12" t="s">
        <v>146</v>
      </c>
      <c r="E38" s="12" t="s">
        <v>137</v>
      </c>
      <c r="F38" s="36" t="s">
        <v>735</v>
      </c>
      <c r="G38" s="20" t="s">
        <v>728</v>
      </c>
      <c r="H38" s="13" t="s">
        <v>722</v>
      </c>
    </row>
    <row r="39" spans="1:8" ht="38.1" customHeight="1" x14ac:dyDescent="0.25">
      <c r="A39" s="4" t="s">
        <v>353</v>
      </c>
      <c r="B39" s="5" t="s">
        <v>355</v>
      </c>
      <c r="C39" s="7" t="s">
        <v>76</v>
      </c>
      <c r="D39" s="7" t="s">
        <v>348</v>
      </c>
      <c r="E39" s="7" t="s">
        <v>98</v>
      </c>
      <c r="F39" s="36" t="s">
        <v>735</v>
      </c>
      <c r="G39" s="20" t="s">
        <v>728</v>
      </c>
      <c r="H39" s="8" t="s">
        <v>722</v>
      </c>
    </row>
    <row r="40" spans="1:8" ht="38.1" customHeight="1" x14ac:dyDescent="0.25">
      <c r="A40" s="9" t="s">
        <v>122</v>
      </c>
      <c r="B40" s="10" t="s">
        <v>123</v>
      </c>
      <c r="C40" s="12" t="s">
        <v>117</v>
      </c>
      <c r="D40" s="12" t="s">
        <v>96</v>
      </c>
      <c r="E40" s="12" t="s">
        <v>98</v>
      </c>
      <c r="F40" s="36" t="s">
        <v>735</v>
      </c>
      <c r="G40" s="35" t="s">
        <v>730</v>
      </c>
      <c r="H40" s="13" t="s">
        <v>722</v>
      </c>
    </row>
    <row r="41" spans="1:8" ht="38.1" customHeight="1" x14ac:dyDescent="0.25">
      <c r="A41" s="4" t="s">
        <v>126</v>
      </c>
      <c r="B41" s="5" t="s">
        <v>127</v>
      </c>
      <c r="C41" s="7" t="s">
        <v>117</v>
      </c>
      <c r="D41" s="7" t="s">
        <v>103</v>
      </c>
      <c r="E41" s="7" t="s">
        <v>98</v>
      </c>
      <c r="F41" s="36" t="s">
        <v>735</v>
      </c>
      <c r="G41" s="35" t="s">
        <v>730</v>
      </c>
      <c r="H41" s="8" t="s">
        <v>722</v>
      </c>
    </row>
    <row r="42" spans="1:8" ht="38.1" customHeight="1" x14ac:dyDescent="0.25">
      <c r="A42" s="9" t="s">
        <v>160</v>
      </c>
      <c r="B42" s="10" t="s">
        <v>161</v>
      </c>
      <c r="C42" s="12" t="s">
        <v>156</v>
      </c>
      <c r="D42" s="12" t="s">
        <v>135</v>
      </c>
      <c r="E42" s="12" t="s">
        <v>137</v>
      </c>
      <c r="F42" s="36" t="s">
        <v>735</v>
      </c>
      <c r="G42" s="35" t="s">
        <v>730</v>
      </c>
      <c r="H42" s="13" t="s">
        <v>722</v>
      </c>
    </row>
    <row r="43" spans="1:8" ht="38.1" customHeight="1" x14ac:dyDescent="0.25">
      <c r="A43" s="4" t="s">
        <v>168</v>
      </c>
      <c r="B43" s="5" t="s">
        <v>169</v>
      </c>
      <c r="C43" s="7" t="s">
        <v>156</v>
      </c>
      <c r="D43" s="7" t="s">
        <v>146</v>
      </c>
      <c r="E43" s="7" t="s">
        <v>137</v>
      </c>
      <c r="F43" s="36" t="s">
        <v>735</v>
      </c>
      <c r="G43" s="35" t="s">
        <v>730</v>
      </c>
      <c r="H43" s="8" t="s">
        <v>722</v>
      </c>
    </row>
    <row r="44" spans="1:8" ht="38.1" customHeight="1" x14ac:dyDescent="0.25">
      <c r="A44" s="9" t="s">
        <v>289</v>
      </c>
      <c r="B44" s="10" t="s">
        <v>290</v>
      </c>
      <c r="C44" s="12" t="s">
        <v>156</v>
      </c>
      <c r="D44" s="12" t="s">
        <v>265</v>
      </c>
      <c r="E44" s="12" t="s">
        <v>76</v>
      </c>
      <c r="F44" s="36" t="s">
        <v>735</v>
      </c>
      <c r="G44" s="35" t="s">
        <v>730</v>
      </c>
      <c r="H44" s="13" t="s">
        <v>722</v>
      </c>
    </row>
    <row r="47" spans="1:8" ht="18" x14ac:dyDescent="0.25">
      <c r="A47" s="47" t="s">
        <v>736</v>
      </c>
      <c r="B47" s="40"/>
      <c r="C47" s="40"/>
      <c r="D47" s="40"/>
      <c r="E47" s="40"/>
      <c r="F47" s="40"/>
      <c r="G47" s="40"/>
      <c r="H47" s="40"/>
    </row>
    <row r="48" spans="1:8" ht="30" customHeight="1" x14ac:dyDescent="0.25">
      <c r="A48" s="3" t="s">
        <v>33</v>
      </c>
      <c r="B48" s="3" t="s">
        <v>713</v>
      </c>
      <c r="C48" s="3" t="s">
        <v>3</v>
      </c>
      <c r="D48" s="3" t="s">
        <v>714</v>
      </c>
      <c r="E48" s="3" t="s">
        <v>737</v>
      </c>
    </row>
    <row r="49" spans="1:8" ht="33.950000000000003" customHeight="1" x14ac:dyDescent="0.25">
      <c r="A49" s="17" t="s">
        <v>45</v>
      </c>
      <c r="B49" s="5" t="s">
        <v>738</v>
      </c>
      <c r="C49" s="7" t="s">
        <v>9</v>
      </c>
      <c r="D49" s="7" t="s">
        <v>47</v>
      </c>
      <c r="E49" s="43" t="s">
        <v>739</v>
      </c>
      <c r="F49" s="43"/>
      <c r="G49" s="43"/>
      <c r="H49" s="43"/>
    </row>
    <row r="50" spans="1:8" ht="33.950000000000003" customHeight="1" x14ac:dyDescent="0.25">
      <c r="A50" s="17" t="s">
        <v>88</v>
      </c>
      <c r="B50" s="10" t="s">
        <v>89</v>
      </c>
      <c r="C50" s="12" t="s">
        <v>9</v>
      </c>
      <c r="D50" s="12" t="s">
        <v>76</v>
      </c>
      <c r="E50" s="46" t="s">
        <v>740</v>
      </c>
      <c r="F50" s="46"/>
      <c r="G50" s="46"/>
      <c r="H50" s="46"/>
    </row>
    <row r="51" spans="1:8" ht="33.950000000000003" customHeight="1" x14ac:dyDescent="0.25">
      <c r="A51" s="17" t="s">
        <v>182</v>
      </c>
      <c r="B51" s="5" t="s">
        <v>184</v>
      </c>
      <c r="C51" s="7" t="s">
        <v>14</v>
      </c>
      <c r="D51" s="7" t="s">
        <v>98</v>
      </c>
      <c r="E51" s="43" t="s">
        <v>741</v>
      </c>
      <c r="F51" s="43"/>
      <c r="G51" s="43"/>
      <c r="H51" s="43"/>
    </row>
    <row r="52" spans="1:8" ht="33.950000000000003" customHeight="1" x14ac:dyDescent="0.25">
      <c r="A52" s="17" t="s">
        <v>204</v>
      </c>
      <c r="B52" s="10" t="s">
        <v>205</v>
      </c>
      <c r="C52" s="12" t="s">
        <v>14</v>
      </c>
      <c r="D52" s="12" t="s">
        <v>117</v>
      </c>
      <c r="E52" s="46" t="s">
        <v>742</v>
      </c>
      <c r="F52" s="46"/>
      <c r="G52" s="46"/>
      <c r="H52" s="46"/>
    </row>
    <row r="53" spans="1:8" ht="33.950000000000003" customHeight="1" x14ac:dyDescent="0.25">
      <c r="A53" s="17" t="s">
        <v>301</v>
      </c>
      <c r="B53" s="5" t="s">
        <v>303</v>
      </c>
      <c r="C53" s="7" t="s">
        <v>19</v>
      </c>
      <c r="D53" s="7" t="s">
        <v>137</v>
      </c>
      <c r="E53" s="43" t="s">
        <v>743</v>
      </c>
      <c r="F53" s="43"/>
      <c r="G53" s="43"/>
      <c r="H53" s="43"/>
    </row>
    <row r="54" spans="1:8" ht="33.950000000000003" customHeight="1" x14ac:dyDescent="0.25">
      <c r="A54" s="17" t="s">
        <v>429</v>
      </c>
      <c r="B54" s="10" t="s">
        <v>431</v>
      </c>
      <c r="C54" s="12" t="s">
        <v>23</v>
      </c>
      <c r="D54" s="12" t="s">
        <v>47</v>
      </c>
      <c r="E54" s="46" t="s">
        <v>744</v>
      </c>
      <c r="F54" s="46"/>
      <c r="G54" s="46"/>
      <c r="H54" s="46"/>
    </row>
    <row r="55" spans="1:8" ht="33.950000000000003" customHeight="1" x14ac:dyDescent="0.25">
      <c r="A55" s="17" t="s">
        <v>537</v>
      </c>
      <c r="B55" s="5" t="s">
        <v>538</v>
      </c>
      <c r="C55" s="7" t="s">
        <v>23</v>
      </c>
      <c r="D55" s="7" t="s">
        <v>76</v>
      </c>
      <c r="E55" s="43" t="s">
        <v>745</v>
      </c>
      <c r="F55" s="43"/>
      <c r="G55" s="43"/>
      <c r="H55" s="43"/>
    </row>
  </sheetData>
  <mergeCells count="25">
    <mergeCell ref="E55:H55"/>
    <mergeCell ref="A12:B12"/>
    <mergeCell ref="E52:H52"/>
    <mergeCell ref="D6:G6"/>
    <mergeCell ref="E51:H51"/>
    <mergeCell ref="D11:G11"/>
    <mergeCell ref="A47:H47"/>
    <mergeCell ref="A8:B8"/>
    <mergeCell ref="A10:B10"/>
    <mergeCell ref="D7:G7"/>
    <mergeCell ref="A9:B9"/>
    <mergeCell ref="E49:H49"/>
    <mergeCell ref="E54:H54"/>
    <mergeCell ref="D5:G5"/>
    <mergeCell ref="A6:B6"/>
    <mergeCell ref="E53:H53"/>
    <mergeCell ref="A7:B7"/>
    <mergeCell ref="E50:H50"/>
    <mergeCell ref="D10:G10"/>
    <mergeCell ref="A5:B5"/>
    <mergeCell ref="A14:G14"/>
    <mergeCell ref="D9:G9"/>
    <mergeCell ref="D12:G12"/>
    <mergeCell ref="D8:G8"/>
    <mergeCell ref="A11:B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9" customWidth="1"/>
    <col min="4" max="9" width="11" customWidth="1"/>
    <col min="10" max="10" width="10" customWidth="1"/>
    <col min="11" max="11" width="8" customWidth="1"/>
    <col min="12" max="13" width="9" customWidth="1"/>
    <col min="14" max="14" width="7" customWidth="1"/>
    <col min="15" max="15" width="11" customWidth="1"/>
    <col min="16" max="16" width="50" customWidth="1"/>
  </cols>
  <sheetData>
    <row r="1" spans="1:16" ht="18" x14ac:dyDescent="0.25">
      <c r="A1" s="1" t="s">
        <v>746</v>
      </c>
    </row>
    <row r="2" spans="1:16" x14ac:dyDescent="0.25">
      <c r="A2" s="2" t="s">
        <v>747</v>
      </c>
    </row>
    <row r="4" spans="1:16" ht="30" customHeight="1" x14ac:dyDescent="0.25">
      <c r="A4" s="3" t="s">
        <v>3</v>
      </c>
      <c r="B4" s="3" t="s">
        <v>748</v>
      </c>
      <c r="C4" s="3" t="s">
        <v>554</v>
      </c>
      <c r="D4" s="3" t="s">
        <v>47</v>
      </c>
      <c r="E4" s="3" t="s">
        <v>98</v>
      </c>
      <c r="F4" s="3" t="s">
        <v>76</v>
      </c>
      <c r="G4" s="3" t="s">
        <v>137</v>
      </c>
      <c r="H4" s="3" t="s">
        <v>117</v>
      </c>
      <c r="I4" s="3" t="s">
        <v>156</v>
      </c>
      <c r="J4" s="3" t="s">
        <v>51</v>
      </c>
      <c r="K4" s="3" t="s">
        <v>101</v>
      </c>
      <c r="L4" s="3" t="s">
        <v>140</v>
      </c>
      <c r="M4" s="3" t="s">
        <v>670</v>
      </c>
      <c r="N4" s="3" t="s">
        <v>482</v>
      </c>
      <c r="O4" s="3" t="s">
        <v>749</v>
      </c>
      <c r="P4" s="3" t="s">
        <v>750</v>
      </c>
    </row>
    <row r="5" spans="1:16" ht="45.95" customHeight="1" x14ac:dyDescent="0.25">
      <c r="A5" s="4" t="s">
        <v>9</v>
      </c>
      <c r="B5" s="7">
        <v>20</v>
      </c>
      <c r="C5" s="7">
        <f>COUNTIF('Sprint Planning'!$B:$B,$A5)</f>
        <v>26</v>
      </c>
      <c r="D5" s="7">
        <f>COUNTIFS('Sprint Planning'!$B:$B,$A5,'Sprint Planning'!$D:$D,"Daniel")</f>
        <v>5</v>
      </c>
      <c r="E5" s="7">
        <f>COUNTIFS('Sprint Planning'!$B:$B,$A5,'Sprint Planning'!$D:$D,"Jhon")</f>
        <v>4</v>
      </c>
      <c r="F5" s="7">
        <f>COUNTIFS('Sprint Planning'!$B:$B,$A5,'Sprint Planning'!$D:$D,"Susana")</f>
        <v>5</v>
      </c>
      <c r="G5" s="7">
        <f>COUNTIFS('Sprint Planning'!$B:$B,$A5,'Sprint Planning'!$D:$D,"Alex")</f>
        <v>4</v>
      </c>
      <c r="H5" s="7">
        <f>COUNTIFS('Sprint Planning'!$B:$B,$A5,'Sprint Planning'!$D:$D,"Alejandra")</f>
        <v>4</v>
      </c>
      <c r="I5" s="7">
        <f>COUNTIFS('Sprint Planning'!$B:$B,$A5,'Sprint Planning'!$D:$D,"Araceli")</f>
        <v>4</v>
      </c>
      <c r="J5" s="7">
        <f>COUNTIFS('Sprint Planning'!$B:$B,$A5,'Sprint Planning'!$H:$H,"Backend")</f>
        <v>10</v>
      </c>
      <c r="K5" s="7">
        <f>COUNTIFS('Sprint Planning'!$B:$B,$A5,'Sprint Planning'!$H:$H,"Web")</f>
        <v>8</v>
      </c>
      <c r="L5" s="7">
        <f>COUNTIFS('Sprint Planning'!$B:$B,$A5,'Sprint Planning'!$H:$H,"Movil")</f>
        <v>8</v>
      </c>
      <c r="M5" s="7">
        <f>COUNTIFS('Sprint Planning'!$B:$B,$A5,'Sprint Planning'!$H:$H,"Integracion")</f>
        <v>0</v>
      </c>
      <c r="N5" s="7">
        <f>COUNTIFS('Sprint Planning'!$B:$B,$A5,'Sprint Planning'!$H:$H,"QA")</f>
        <v>0</v>
      </c>
      <c r="O5" s="7">
        <f>COUNTIFS('Sprint Planning'!$B:$B,$A5,'Sprint Planning'!$I:$I,"Alta")</f>
        <v>21</v>
      </c>
      <c r="P5" s="8" t="s">
        <v>751</v>
      </c>
    </row>
    <row r="6" spans="1:16" ht="45.95" customHeight="1" x14ac:dyDescent="0.25">
      <c r="A6" s="9" t="s">
        <v>14</v>
      </c>
      <c r="B6" s="12">
        <v>20</v>
      </c>
      <c r="C6" s="12">
        <f>COUNTIF('Sprint Planning'!$B:$B,$A6)</f>
        <v>28</v>
      </c>
      <c r="D6" s="12">
        <f>COUNTIFS('Sprint Planning'!$B:$B,$A6,'Sprint Planning'!$D:$D,"Daniel")</f>
        <v>4</v>
      </c>
      <c r="E6" s="12">
        <f>COUNTIFS('Sprint Planning'!$B:$B,$A6,'Sprint Planning'!$D:$D,"Jhon")</f>
        <v>5</v>
      </c>
      <c r="F6" s="12">
        <f>COUNTIFS('Sprint Planning'!$B:$B,$A6,'Sprint Planning'!$D:$D,"Susana")</f>
        <v>5</v>
      </c>
      <c r="G6" s="12">
        <f>COUNTIFS('Sprint Planning'!$B:$B,$A6,'Sprint Planning'!$D:$D,"Alex")</f>
        <v>5</v>
      </c>
      <c r="H6" s="12">
        <f>COUNTIFS('Sprint Planning'!$B:$B,$A6,'Sprint Planning'!$D:$D,"Alejandra")</f>
        <v>5</v>
      </c>
      <c r="I6" s="12">
        <f>COUNTIFS('Sprint Planning'!$B:$B,$A6,'Sprint Planning'!$D:$D,"Araceli")</f>
        <v>4</v>
      </c>
      <c r="J6" s="12">
        <f>COUNTIFS('Sprint Planning'!$B:$B,$A6,'Sprint Planning'!$H:$H,"Backend")</f>
        <v>14</v>
      </c>
      <c r="K6" s="12">
        <f>COUNTIFS('Sprint Planning'!$B:$B,$A6,'Sprint Planning'!$H:$H,"Web")</f>
        <v>9</v>
      </c>
      <c r="L6" s="12">
        <f>COUNTIFS('Sprint Planning'!$B:$B,$A6,'Sprint Planning'!$H:$H,"Movil")</f>
        <v>5</v>
      </c>
      <c r="M6" s="12">
        <f>COUNTIFS('Sprint Planning'!$B:$B,$A6,'Sprint Planning'!$H:$H,"Integracion")</f>
        <v>0</v>
      </c>
      <c r="N6" s="12">
        <f>COUNTIFS('Sprint Planning'!$B:$B,$A6,'Sprint Planning'!$H:$H,"QA")</f>
        <v>0</v>
      </c>
      <c r="O6" s="12">
        <f>COUNTIFS('Sprint Planning'!$B:$B,$A6,'Sprint Planning'!$I:$I,"Alta")</f>
        <v>19</v>
      </c>
      <c r="P6" s="13" t="s">
        <v>752</v>
      </c>
    </row>
    <row r="7" spans="1:16" ht="45.95" customHeight="1" x14ac:dyDescent="0.25">
      <c r="A7" s="4" t="s">
        <v>19</v>
      </c>
      <c r="B7" s="7">
        <v>20</v>
      </c>
      <c r="C7" s="7">
        <f>COUNTIF('Sprint Planning'!$B:$B,$A7)</f>
        <v>27</v>
      </c>
      <c r="D7" s="7">
        <f>COUNTIFS('Sprint Planning'!$B:$B,$A7,'Sprint Planning'!$D:$D,"Daniel")</f>
        <v>4</v>
      </c>
      <c r="E7" s="7">
        <f>COUNTIFS('Sprint Planning'!$B:$B,$A7,'Sprint Planning'!$D:$D,"Jhon")</f>
        <v>5</v>
      </c>
      <c r="F7" s="7">
        <f>COUNTIFS('Sprint Planning'!$B:$B,$A7,'Sprint Planning'!$D:$D,"Susana")</f>
        <v>4</v>
      </c>
      <c r="G7" s="7">
        <f>COUNTIFS('Sprint Planning'!$B:$B,$A7,'Sprint Planning'!$D:$D,"Alex")</f>
        <v>5</v>
      </c>
      <c r="H7" s="7">
        <f>COUNTIFS('Sprint Planning'!$B:$B,$A7,'Sprint Planning'!$D:$D,"Alejandra")</f>
        <v>4</v>
      </c>
      <c r="I7" s="7">
        <f>COUNTIFS('Sprint Planning'!$B:$B,$A7,'Sprint Planning'!$D:$D,"Araceli")</f>
        <v>5</v>
      </c>
      <c r="J7" s="7">
        <f>COUNTIFS('Sprint Planning'!$B:$B,$A7,'Sprint Planning'!$H:$H,"Backend")</f>
        <v>14</v>
      </c>
      <c r="K7" s="7">
        <f>COUNTIFS('Sprint Planning'!$B:$B,$A7,'Sprint Planning'!$H:$H,"Web")</f>
        <v>8</v>
      </c>
      <c r="L7" s="7">
        <f>COUNTIFS('Sprint Planning'!$B:$B,$A7,'Sprint Planning'!$H:$H,"Movil")</f>
        <v>5</v>
      </c>
      <c r="M7" s="7">
        <f>COUNTIFS('Sprint Planning'!$B:$B,$A7,'Sprint Planning'!$H:$H,"Integracion")</f>
        <v>0</v>
      </c>
      <c r="N7" s="7">
        <f>COUNTIFS('Sprint Planning'!$B:$B,$A7,'Sprint Planning'!$H:$H,"QA")</f>
        <v>0</v>
      </c>
      <c r="O7" s="7">
        <f>COUNTIFS('Sprint Planning'!$B:$B,$A7,'Sprint Planning'!$I:$I,"Alta")</f>
        <v>21</v>
      </c>
      <c r="P7" s="8" t="s">
        <v>753</v>
      </c>
    </row>
    <row r="8" spans="1:16" ht="45.95" customHeight="1" x14ac:dyDescent="0.25">
      <c r="A8" s="9" t="s">
        <v>23</v>
      </c>
      <c r="B8" s="12">
        <v>20</v>
      </c>
      <c r="C8" s="12">
        <f>COUNTIF('Sprint Planning'!$B:$B,$A8)</f>
        <v>27</v>
      </c>
      <c r="D8" s="12">
        <f>COUNTIFS('Sprint Planning'!$B:$B,$A8,'Sprint Planning'!$D:$D,"Daniel")</f>
        <v>5</v>
      </c>
      <c r="E8" s="12">
        <f>COUNTIFS('Sprint Planning'!$B:$B,$A8,'Sprint Planning'!$D:$D,"Jhon")</f>
        <v>4</v>
      </c>
      <c r="F8" s="12">
        <f>COUNTIFS('Sprint Planning'!$B:$B,$A8,'Sprint Planning'!$D:$D,"Susana")</f>
        <v>6</v>
      </c>
      <c r="G8" s="12">
        <f>COUNTIFS('Sprint Planning'!$B:$B,$A8,'Sprint Planning'!$D:$D,"Alex")</f>
        <v>4</v>
      </c>
      <c r="H8" s="12">
        <f>COUNTIFS('Sprint Planning'!$B:$B,$A8,'Sprint Planning'!$D:$D,"Alejandra")</f>
        <v>4</v>
      </c>
      <c r="I8" s="12">
        <f>COUNTIFS('Sprint Planning'!$B:$B,$A8,'Sprint Planning'!$D:$D,"Araceli")</f>
        <v>4</v>
      </c>
      <c r="J8" s="12">
        <f>COUNTIFS('Sprint Planning'!$B:$B,$A8,'Sprint Planning'!$H:$H,"Backend")</f>
        <v>6</v>
      </c>
      <c r="K8" s="12">
        <f>COUNTIFS('Sprint Planning'!$B:$B,$A8,'Sprint Planning'!$H:$H,"Web")</f>
        <v>6</v>
      </c>
      <c r="L8" s="12">
        <f>COUNTIFS('Sprint Planning'!$B:$B,$A8,'Sprint Planning'!$H:$H,"Movil")</f>
        <v>4</v>
      </c>
      <c r="M8" s="12">
        <f>COUNTIFS('Sprint Planning'!$B:$B,$A8,'Sprint Planning'!$H:$H,"Integracion")</f>
        <v>6</v>
      </c>
      <c r="N8" s="12">
        <f>COUNTIFS('Sprint Planning'!$B:$B,$A8,'Sprint Planning'!$H:$H,"QA")</f>
        <v>5</v>
      </c>
      <c r="O8" s="12">
        <f>COUNTIFS('Sprint Planning'!$B:$B,$A8,'Sprint Planning'!$I:$I,"Alta")</f>
        <v>18</v>
      </c>
      <c r="P8" s="13" t="s">
        <v>754</v>
      </c>
    </row>
    <row r="9" spans="1:16" x14ac:dyDescent="0.25">
      <c r="A9" s="37" t="s">
        <v>755</v>
      </c>
      <c r="B9" s="16">
        <f t="shared" ref="B9:O9" si="0">SUM(B5:B8)</f>
        <v>80</v>
      </c>
      <c r="C9" s="16">
        <f t="shared" si="0"/>
        <v>108</v>
      </c>
      <c r="D9" s="16">
        <f t="shared" si="0"/>
        <v>18</v>
      </c>
      <c r="E9" s="16">
        <f t="shared" si="0"/>
        <v>18</v>
      </c>
      <c r="F9" s="16">
        <f t="shared" si="0"/>
        <v>20</v>
      </c>
      <c r="G9" s="16">
        <f t="shared" si="0"/>
        <v>18</v>
      </c>
      <c r="H9" s="16">
        <f t="shared" si="0"/>
        <v>17</v>
      </c>
      <c r="I9" s="16">
        <f t="shared" si="0"/>
        <v>17</v>
      </c>
      <c r="J9" s="16">
        <f t="shared" si="0"/>
        <v>44</v>
      </c>
      <c r="K9" s="16">
        <f t="shared" si="0"/>
        <v>31</v>
      </c>
      <c r="L9" s="16">
        <f t="shared" si="0"/>
        <v>22</v>
      </c>
      <c r="M9" s="16">
        <f t="shared" si="0"/>
        <v>6</v>
      </c>
      <c r="N9" s="16">
        <f t="shared" si="0"/>
        <v>5</v>
      </c>
      <c r="O9" s="16">
        <f t="shared" si="0"/>
        <v>79</v>
      </c>
      <c r="P9" s="38" t="s">
        <v>756</v>
      </c>
    </row>
    <row r="12" spans="1:16" ht="18" x14ac:dyDescent="0.25">
      <c r="A12" s="47" t="s">
        <v>757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</row>
    <row r="13" spans="1:16" ht="30" customHeight="1" x14ac:dyDescent="0.25">
      <c r="A13" s="48" t="s">
        <v>758</v>
      </c>
      <c r="B13" s="40"/>
      <c r="C13" s="40"/>
      <c r="D13" s="39" t="s">
        <v>759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 ht="30" customHeight="1" x14ac:dyDescent="0.25">
      <c r="A14" s="48" t="s">
        <v>760</v>
      </c>
      <c r="B14" s="40"/>
      <c r="C14" s="40"/>
      <c r="D14" s="39" t="s">
        <v>761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 ht="30" customHeight="1" x14ac:dyDescent="0.25">
      <c r="A15" s="48" t="s">
        <v>762</v>
      </c>
      <c r="B15" s="40"/>
      <c r="C15" s="40"/>
      <c r="D15" s="39" t="s">
        <v>763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1:16" ht="30" customHeight="1" x14ac:dyDescent="0.25">
      <c r="A16" s="48" t="s">
        <v>764</v>
      </c>
      <c r="B16" s="40"/>
      <c r="C16" s="40"/>
      <c r="D16" s="39" t="s">
        <v>765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 ht="30" customHeight="1" x14ac:dyDescent="0.25">
      <c r="A17" s="48" t="s">
        <v>766</v>
      </c>
      <c r="B17" s="40"/>
      <c r="C17" s="40"/>
      <c r="D17" s="39" t="s">
        <v>767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 ht="30" customHeight="1" x14ac:dyDescent="0.25">
      <c r="A18" s="48" t="s">
        <v>768</v>
      </c>
      <c r="B18" s="40"/>
      <c r="C18" s="40"/>
      <c r="D18" s="39" t="s">
        <v>769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 ht="30" customHeight="1" x14ac:dyDescent="0.25">
      <c r="A19" s="48" t="s">
        <v>770</v>
      </c>
      <c r="B19" s="40"/>
      <c r="C19" s="40"/>
      <c r="D19" s="39" t="s">
        <v>771</v>
      </c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</row>
    <row r="20" spans="1:16" ht="30" customHeight="1" x14ac:dyDescent="0.25">
      <c r="A20" s="48" t="s">
        <v>772</v>
      </c>
      <c r="B20" s="40"/>
      <c r="C20" s="40"/>
      <c r="D20" s="39" t="s">
        <v>773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 ht="30" customHeight="1" x14ac:dyDescent="0.25">
      <c r="A21" s="48" t="s">
        <v>774</v>
      </c>
      <c r="B21" s="40"/>
      <c r="C21" s="40"/>
      <c r="D21" s="39" t="s">
        <v>775</v>
      </c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</sheetData>
  <mergeCells count="19">
    <mergeCell ref="A12:P12"/>
    <mergeCell ref="D16:P16"/>
    <mergeCell ref="A16:C16"/>
    <mergeCell ref="A13:C13"/>
    <mergeCell ref="A19:C19"/>
    <mergeCell ref="D21:P21"/>
    <mergeCell ref="A15:C15"/>
    <mergeCell ref="D13:P13"/>
    <mergeCell ref="D17:P17"/>
    <mergeCell ref="D18:P18"/>
    <mergeCell ref="A18:C18"/>
    <mergeCell ref="A21:C21"/>
    <mergeCell ref="D15:P15"/>
    <mergeCell ref="D14:P14"/>
    <mergeCell ref="A14:C14"/>
    <mergeCell ref="A17:C17"/>
    <mergeCell ref="D20:P20"/>
    <mergeCell ref="D19:P19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Sprints</vt:lpstr>
      <vt:lpstr>Sprint Planning</vt:lpstr>
      <vt:lpstr>Casos de Uso</vt:lpstr>
      <vt:lpstr>Distribucion Equipo</vt:lpstr>
      <vt:lpstr>Dependencias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Olmos</cp:lastModifiedBy>
  <dcterms:created xsi:type="dcterms:W3CDTF">2026-09-30T01:30:47Z</dcterms:created>
  <dcterms:modified xsi:type="dcterms:W3CDTF">2026-09-30T01:31:04Z</dcterms:modified>
</cp:coreProperties>
</file>